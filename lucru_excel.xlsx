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USer\OneDrive\Sisteme suport decizie\Proiect\"/>
    </mc:Choice>
  </mc:AlternateContent>
  <xr:revisionPtr revIDLastSave="0" documentId="8_{16F97E29-3571-4A5D-8868-9B641A472D78}" xr6:coauthVersionLast="47" xr6:coauthVersionMax="47" xr10:uidLastSave="{00000000-0000-0000-0000-000000000000}"/>
  <bookViews>
    <workbookView xWindow="-108" yWindow="-108" windowWidth="23256" windowHeight="12456" firstSheet="8" activeTab="12" xr2:uid="{6D289719-570C-476A-99CF-9195A19675D5}"/>
  </bookViews>
  <sheets>
    <sheet name="Direcții" sheetId="11" r:id="rId1"/>
    <sheet name="Structură_conducere" sheetId="8" r:id="rId2"/>
    <sheet name="Contracte " sheetId="2" r:id="rId3"/>
    <sheet name="Achiziții_publice" sheetId="10" r:id="rId4"/>
    <sheet name="Buget" sheetId="13" r:id="rId5"/>
    <sheet name="Statistici descriptive" sheetId="17" r:id="rId6"/>
    <sheet name="PivotTable1" sheetId="28" r:id="rId7"/>
    <sheet name="PivotTable2" sheetId="27" r:id="rId8"/>
    <sheet name="PivotTable3" sheetId="29" r:id="rId9"/>
    <sheet name="PivotChart2" sheetId="33" r:id="rId10"/>
    <sheet name="PivotChart1" sheetId="34" r:id="rId11"/>
    <sheet name="PivotChart3" sheetId="32" r:id="rId12"/>
    <sheet name="PivotChart4" sheetId="30" r:id="rId13"/>
    <sheet name="Pivotchart5" sheetId="36" r:id="rId14"/>
    <sheet name="CB_DATA_" sheetId="15" state="veryHidden" r:id="rId15"/>
  </sheets>
  <definedNames>
    <definedName name="_xlnm._FilterDatabase" localSheetId="3" hidden="1">Achiziții_publice!$E$1:$E$368</definedName>
    <definedName name="_xlnm._FilterDatabase" localSheetId="2" hidden="1">'Contracte '!$B$1:$B$24</definedName>
    <definedName name="_xlnm._FilterDatabase" localSheetId="1" hidden="1">Structură_conducere!$B$1:$B$124</definedName>
    <definedName name="CB_Block_00000000000000000000000000000000" localSheetId="4" hidden="1">"'7.0.0.0"</definedName>
    <definedName name="CB_Block_00000000000000000000000000000001" localSheetId="4" hidden="1">"'639030740429893528"</definedName>
    <definedName name="CB_Block_00000000000000000000000000000001" localSheetId="14" hidden="1">"'639030740430186433"</definedName>
    <definedName name="CB_Block_00000000000000000000000000000003" localSheetId="4" hidden="1">"'11.1.5072.0"</definedName>
    <definedName name="CB_BlockExt_00000000000000000000000000000003" localSheetId="4" hidden="1">"'11.1.3.0.000"</definedName>
    <definedName name="CB_cfeb2147bb414ae5bb43f130aea56092" localSheetId="4" hidden="1">#N/A</definedName>
    <definedName name="CBCR_023d0f825d6145f9a2634156b49bd13a" localSheetId="4" hidden="1">Buget!$A$1:$D$21</definedName>
    <definedName name="CBCR_COL_0" localSheetId="4" hidden="1">Buget!$D:$D</definedName>
    <definedName name="CBCR_COL_1" localSheetId="4" hidden="1">Buget!$C:$C</definedName>
    <definedName name="CBCR_COL_2" localSheetId="4" hidden="1">Buget!$B:$B</definedName>
    <definedName name="CBCR_COL_3" localSheetId="4" hidden="1">Buget!$A:$A</definedName>
    <definedName name="CBWorkbookPriority" localSheetId="14" hidden="1">-3498130471342130</definedName>
    <definedName name="CBx_1289f067b40148b4b17b5b2e6fe7f371" localSheetId="14" hidden="1">"'CB_DATA_'!$A$1"</definedName>
    <definedName name="CBx_f98baf5d6a104b42b2a67b303273e036" localSheetId="14" hidden="1">"'Buget'!$A$1"</definedName>
    <definedName name="CBx_Sheet_Guid" localSheetId="4" hidden="1">"'f98baf5d-6a10-4b42-b2a6-7b303273e036"</definedName>
    <definedName name="CBx_Sheet_Guid" localSheetId="14" hidden="1">"'1289f067-b401-48b4-b17b-5b2e6fe7f371"</definedName>
    <definedName name="CBx_SheetRef" localSheetId="4" hidden="1">CB_DATA_!$B$14</definedName>
    <definedName name="CBx_SheetRef" localSheetId="14" hidden="1">CB_DATA_!$A$14</definedName>
    <definedName name="CBx_StorageType" localSheetId="4" hidden="1">2</definedName>
    <definedName name="CBx_StorageType" localSheetId="14" hidden="1">2</definedName>
    <definedName name="solver_eng" localSheetId="4" hidden="1">1</definedName>
    <definedName name="solver_neg" localSheetId="4" hidden="1">1</definedName>
    <definedName name="solver_num" localSheetId="4" hidden="1">0</definedName>
    <definedName name="solver_opt" localSheetId="4" hidden="1">Buget!$L$4</definedName>
    <definedName name="solver_typ" localSheetId="4" hidden="1">1</definedName>
    <definedName name="solver_val" localSheetId="4" hidden="1">0</definedName>
    <definedName name="solver_ver" localSheetId="4" hidden="1">3</definedName>
  </definedNames>
  <calcPr calcId="191029" concurrentCalc="0" concurrentManualCount="4"/>
  <pivotCaches>
    <pivotCache cacheId="2" r:id="rId16"/>
    <pivotCache cacheId="1"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5" i="2" l="1"/>
  <c r="B11" i="15"/>
  <c r="A11" i="15"/>
  <c r="H300" i="10"/>
  <c r="H299" i="10"/>
  <c r="H298" i="10"/>
  <c r="H297" i="10"/>
  <c r="H296" i="10"/>
  <c r="H295" i="10"/>
  <c r="H294" i="10"/>
  <c r="H293" i="10"/>
  <c r="H292" i="10"/>
  <c r="H291" i="10"/>
  <c r="H290" i="10"/>
  <c r="H289" i="10"/>
  <c r="H288" i="10"/>
  <c r="H287" i="10"/>
  <c r="H286" i="10"/>
  <c r="H285" i="10"/>
  <c r="H284" i="10"/>
  <c r="H283" i="10"/>
  <c r="H282" i="10"/>
  <c r="H281" i="10"/>
  <c r="H280" i="10"/>
  <c r="H279" i="10"/>
  <c r="H278" i="10"/>
  <c r="H277" i="10"/>
  <c r="H276" i="10"/>
  <c r="H275" i="10"/>
  <c r="H274" i="10"/>
  <c r="H273" i="10"/>
  <c r="H272" i="10"/>
  <c r="H271" i="10"/>
  <c r="H270" i="10"/>
  <c r="H269" i="10"/>
  <c r="H268" i="10"/>
  <c r="H267" i="10"/>
  <c r="H266" i="10"/>
  <c r="H265" i="10"/>
  <c r="H264" i="10"/>
  <c r="H263" i="10"/>
  <c r="H262" i="10"/>
  <c r="H261" i="10"/>
  <c r="H260" i="10"/>
  <c r="H259" i="10"/>
  <c r="H258" i="10"/>
  <c r="H257" i="10"/>
  <c r="H256" i="10"/>
  <c r="H255" i="10"/>
  <c r="H254" i="10"/>
  <c r="H253" i="10"/>
  <c r="H252" i="10"/>
  <c r="H251" i="10"/>
  <c r="H250" i="10"/>
  <c r="H249" i="10"/>
  <c r="H248" i="10"/>
  <c r="H247" i="10"/>
  <c r="H246" i="10"/>
  <c r="H245" i="10"/>
  <c r="H244" i="10"/>
  <c r="H243" i="10"/>
  <c r="H242" i="10"/>
  <c r="H241" i="10"/>
  <c r="H240" i="10"/>
  <c r="H239" i="10"/>
  <c r="H238" i="10"/>
  <c r="H237" i="10"/>
  <c r="H236" i="10"/>
  <c r="H235" i="10"/>
  <c r="H234" i="10"/>
  <c r="H233" i="10"/>
  <c r="H232" i="10"/>
  <c r="H231" i="10"/>
  <c r="H230" i="10"/>
  <c r="H229" i="10"/>
  <c r="H228" i="10"/>
  <c r="H227" i="10"/>
  <c r="H226" i="10"/>
  <c r="H225" i="10"/>
  <c r="H224" i="10"/>
  <c r="H223" i="10"/>
  <c r="H222" i="10"/>
  <c r="H221" i="10"/>
  <c r="H220" i="10"/>
  <c r="H219" i="10"/>
  <c r="H218" i="10"/>
  <c r="H217" i="10"/>
  <c r="H216" i="10"/>
  <c r="H215" i="10"/>
  <c r="H214" i="10"/>
  <c r="H213" i="10"/>
  <c r="H212" i="10"/>
  <c r="H211" i="10"/>
  <c r="H210" i="10"/>
  <c r="H209" i="10"/>
  <c r="H208" i="10"/>
  <c r="H207" i="10"/>
  <c r="H206" i="10"/>
  <c r="H205" i="10"/>
  <c r="H204" i="10"/>
  <c r="H203" i="10"/>
  <c r="H202" i="10"/>
  <c r="H201" i="10"/>
  <c r="H200" i="10"/>
  <c r="H199" i="10"/>
  <c r="H198" i="10"/>
  <c r="H197" i="10"/>
  <c r="H196" i="10"/>
  <c r="H195" i="10"/>
  <c r="H194" i="10"/>
  <c r="H193" i="10"/>
  <c r="H192" i="10"/>
  <c r="H191" i="10"/>
  <c r="H190" i="10"/>
  <c r="H189" i="10"/>
  <c r="H188" i="10"/>
  <c r="H187" i="10"/>
  <c r="H186" i="10"/>
  <c r="H185" i="10"/>
  <c r="H184" i="10"/>
  <c r="H183" i="10"/>
  <c r="H182" i="10"/>
  <c r="H181" i="10"/>
  <c r="H180" i="10"/>
  <c r="H179" i="10"/>
  <c r="H178" i="10"/>
  <c r="H177" i="10"/>
  <c r="H176" i="10"/>
  <c r="H175" i="10"/>
  <c r="H174" i="10"/>
  <c r="H173" i="10"/>
  <c r="H172" i="10"/>
  <c r="H171" i="10"/>
  <c r="H170" i="10"/>
  <c r="H169" i="10"/>
  <c r="H168" i="10"/>
  <c r="H167" i="10"/>
  <c r="H166" i="10"/>
  <c r="H165" i="10"/>
  <c r="H164" i="10"/>
  <c r="H163" i="10"/>
  <c r="H162" i="10"/>
  <c r="H161" i="10"/>
  <c r="H160" i="10"/>
  <c r="H159" i="10"/>
  <c r="H158" i="10"/>
  <c r="H157" i="10"/>
  <c r="H156" i="10"/>
  <c r="H155" i="10"/>
  <c r="H154" i="10"/>
  <c r="H153" i="10"/>
  <c r="H152" i="10"/>
  <c r="H151" i="10"/>
  <c r="H150" i="10"/>
  <c r="H149" i="10"/>
  <c r="H148" i="10"/>
  <c r="H147" i="10"/>
  <c r="H146" i="10"/>
  <c r="H145" i="10"/>
  <c r="H144" i="10"/>
  <c r="H143" i="10"/>
  <c r="H142" i="10"/>
  <c r="H141" i="10"/>
  <c r="H140" i="10"/>
  <c r="H139" i="10"/>
  <c r="H138" i="10"/>
  <c r="H137" i="10"/>
  <c r="H136" i="10"/>
  <c r="H135" i="10"/>
  <c r="H134" i="10"/>
  <c r="H133" i="10"/>
  <c r="H132" i="10"/>
  <c r="H131" i="10"/>
  <c r="H130" i="10"/>
  <c r="H129" i="10"/>
  <c r="H128" i="10"/>
  <c r="H127" i="10"/>
  <c r="H126" i="10"/>
  <c r="H125" i="10"/>
  <c r="H124" i="10"/>
  <c r="H123" i="10"/>
  <c r="H122" i="10"/>
  <c r="H121" i="10"/>
  <c r="H120" i="10"/>
  <c r="H119" i="10"/>
  <c r="H118" i="10"/>
  <c r="H117" i="10"/>
  <c r="H116" i="10"/>
  <c r="H115" i="10"/>
  <c r="H114" i="10"/>
  <c r="H113" i="10"/>
  <c r="H112" i="10"/>
  <c r="H111" i="10"/>
  <c r="H110" i="10"/>
  <c r="H109" i="10"/>
  <c r="H108" i="10"/>
  <c r="H107" i="10"/>
  <c r="H106" i="10"/>
  <c r="H105" i="10"/>
  <c r="H104" i="10"/>
  <c r="H103" i="10"/>
  <c r="H102" i="10"/>
  <c r="H101" i="10"/>
  <c r="H100" i="10"/>
  <c r="H99" i="10"/>
  <c r="H98" i="10"/>
  <c r="H97" i="10"/>
  <c r="H96" i="10"/>
  <c r="H95" i="10"/>
  <c r="H94" i="10"/>
  <c r="H93" i="10"/>
  <c r="H92" i="10"/>
  <c r="H91" i="10"/>
  <c r="H90" i="10"/>
  <c r="H89" i="10"/>
  <c r="H88" i="10"/>
  <c r="H87" i="10"/>
  <c r="H86" i="10"/>
  <c r="H85" i="10"/>
  <c r="H84" i="10"/>
  <c r="H83" i="10"/>
  <c r="H82" i="10"/>
  <c r="H81" i="10"/>
  <c r="H80" i="10"/>
  <c r="H79" i="10"/>
  <c r="H78" i="10"/>
  <c r="H77" i="10"/>
  <c r="H76" i="10"/>
  <c r="H75" i="10"/>
  <c r="H74" i="10"/>
  <c r="H73" i="10"/>
  <c r="H72" i="10"/>
  <c r="H71" i="10"/>
  <c r="H70" i="10"/>
  <c r="H69" i="10"/>
  <c r="H68" i="10"/>
  <c r="H67" i="10"/>
  <c r="H66" i="10"/>
  <c r="H65" i="10"/>
  <c r="H64" i="10"/>
  <c r="H63" i="10"/>
  <c r="H62" i="10"/>
  <c r="H61" i="10"/>
  <c r="H60" i="10"/>
  <c r="H59" i="10"/>
  <c r="H58" i="10"/>
  <c r="H57" i="10"/>
  <c r="H56" i="10"/>
  <c r="H55" i="10"/>
  <c r="H54" i="10"/>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10"/>
  <c r="H8" i="10"/>
  <c r="H7" i="10"/>
  <c r="H6" i="10"/>
  <c r="H5" i="10"/>
  <c r="H4" i="10"/>
  <c r="H3" i="10"/>
  <c r="H2" i="10"/>
  <c r="H24" i="2"/>
  <c r="H23" i="2"/>
  <c r="H22" i="2"/>
  <c r="H21" i="2"/>
  <c r="H20" i="2"/>
  <c r="H19" i="2"/>
  <c r="H18" i="2"/>
  <c r="H17" i="2"/>
  <c r="H16" i="2"/>
  <c r="H15" i="2"/>
  <c r="H14" i="2"/>
  <c r="H13" i="2"/>
  <c r="H12" i="2"/>
  <c r="H11" i="2"/>
  <c r="H10" i="2"/>
  <c r="H9" i="2"/>
  <c r="H8" i="2"/>
  <c r="H7" i="2"/>
  <c r="H6" i="2"/>
  <c r="H5" i="2"/>
  <c r="H4" i="2"/>
  <c r="H3" i="2"/>
  <c r="H2" i="2"/>
  <c r="E29" i="11"/>
  <c r="E28" i="11"/>
  <c r="E27" i="11"/>
  <c r="E26" i="11"/>
  <c r="E25" i="11"/>
  <c r="E24" i="11"/>
  <c r="E23" i="11"/>
  <c r="E22" i="11"/>
  <c r="E21" i="11"/>
  <c r="E20" i="11"/>
  <c r="E19" i="11"/>
  <c r="E18" i="11"/>
  <c r="E17" i="11"/>
  <c r="E16" i="11"/>
  <c r="E15" i="11"/>
  <c r="E14" i="11"/>
  <c r="E13" i="11"/>
  <c r="E12" i="11"/>
  <c r="E11" i="11"/>
  <c r="E10" i="11"/>
  <c r="E9" i="11"/>
  <c r="E8" i="11"/>
  <c r="E7" i="11"/>
  <c r="E6" i="11"/>
  <c r="E5" i="11"/>
  <c r="E4" i="11"/>
  <c r="E3" i="11"/>
  <c r="E2" i="11"/>
</calcChain>
</file>

<file path=xl/sharedStrings.xml><?xml version="1.0" encoding="utf-8"?>
<sst xmlns="http://schemas.openxmlformats.org/spreadsheetml/2006/main" count="2335" uniqueCount="742">
  <si>
    <t>LIBRO EVENTS SRL</t>
  </si>
  <si>
    <t>Contract de prestare - servicii de curatenie a spatiilor administrate de Municipiul Bucuresti, prin Directia Admninistrativa</t>
  </si>
  <si>
    <t>COMPANIA NATIONALA POSTA ROMANA SA</t>
  </si>
  <si>
    <t>Contract subsecvent 1 - servicii postale si de curierat</t>
  </si>
  <si>
    <t>FIP CONSULTING SRL</t>
  </si>
  <si>
    <t>PRIME TELECOM S.R.L.</t>
  </si>
  <si>
    <t>Contract de achizitie publica avand ca obiect prestare Servicii de lnterconectare a sediilor PMB</t>
  </si>
  <si>
    <t>VODAFONE ROMANIA S.A.</t>
  </si>
  <si>
    <t>Prestare ”Servicii de conectare în rețeaua metropolitană și accesul la internet al PMB”</t>
  </si>
  <si>
    <t>CORES ELECTRONIC SRL</t>
  </si>
  <si>
    <t>Service post-garantie pentru sistemul CORPAGE implementat la C.I.D.R.C.</t>
  </si>
  <si>
    <t>Centrul Teritorial de Calcul Electronic S.A.</t>
  </si>
  <si>
    <t>Servicii de asistență tehnică și mentenanță aplicație legislativă</t>
  </si>
  <si>
    <t>Asocierea Alpha Bank România S.A., Banca Comercială Română S.A., BRD – Groupe Société Générale S.A și Raiffeisen Bank S.A.</t>
  </si>
  <si>
    <t>Contract de servicii</t>
  </si>
  <si>
    <t>Fitch Ratings Ireland Limited spółka z ograniczoną odpowiedzialnością oddział w Polsce</t>
  </si>
  <si>
    <t>Contract servicii</t>
  </si>
  <si>
    <t>Contract de servicii de depozitare si registru</t>
  </si>
  <si>
    <t>MEDIA TEHNOCABLU SRL</t>
  </si>
  <si>
    <t>Furnizare ”Unități de Hrd Disk, dispozitive de stocare, memorie RAM”</t>
  </si>
  <si>
    <t>Studiu de calitate a aerului și asistență tehnică pentru realizarea Planului Integrat de Calitate a Aerului și a Planului de Menținere a Calității Aerului în Municipiul București</t>
  </si>
  <si>
    <t>SC MEDIATEL DATA SRL</t>
  </si>
  <si>
    <t>Servicii de reparații, întreținere și configurare pentru Call Center</t>
  </si>
  <si>
    <t>LRQA RO SRL</t>
  </si>
  <si>
    <t>Contract de servicii de Supraveghere a Sistemului de Management Integrat (calitate-mediu)</t>
  </si>
  <si>
    <t>Compania Municipală Energetica Servicii</t>
  </si>
  <si>
    <t>Servicii de supervizare si dirigentie de santier pentru obiectivul de investiții “Refacere și modernizare Patinoar artificial Mihai Flamaropol și realizarea de spatii adiacente necesare desfasurarii activităților sportive și de agrement”</t>
  </si>
  <si>
    <t>SC ANIMA SPECIALITY MEDICAL SERVICES SRL</t>
  </si>
  <si>
    <t>Servicii de medicina muncii pentru angajații PMB</t>
  </si>
  <si>
    <t>S.C. MEDIATRUST ROMANIA S.R.L.</t>
  </si>
  <si>
    <t>Monitorizare și analiză de presă</t>
  </si>
  <si>
    <t>COMPANIA MUNICIPALĂ ENERGETICA SERVICII</t>
  </si>
  <si>
    <t>"Servicii de consultanță și dirigenție de șantier pentru obiectivul de investiții:</t>
  </si>
  <si>
    <t>"Servicii de consultanță și dirigenție de șantier pentru obiectivul de investiții: - “Amenajare depou Bujoreni pentru deservirea autobuzelor electrice”, "</t>
  </si>
  <si>
    <t>"Servicii de consultanță și dirigenție de șantier pentru obiectivul de investiții: - “Amenajare depou Berceni pentru deservirea autobuzelor electrice”, "</t>
  </si>
  <si>
    <t>ENERGY CONTROL SOLUTIONS SRL</t>
  </si>
  <si>
    <t>Servicii de proiectare și execuție lucrări de racordare la rețeaua electrică a locului de consum Primaria Sector 5, B-dul Regina Elisabeta, nr. 29-31, Sector 5, pentru obiectivul de investiții „Consolidare, reabilitare, extindere si restaurare fatada imobil B-dul Regina Elisabeta, nr. 29-31, Sector 5”</t>
  </si>
  <si>
    <t>ID_contract</t>
  </si>
  <si>
    <t>Act aditional nr 2 la contract nr.208.10.05.2024 privind servicii de elaborare documentație tehnică studiu de fezabilitate, completat cu elementele specifice din documentația de avizare a lucrărilor de intervenții pentru obiectivul “Studii, documentații pt. lucrări străzi-Lărgire bd. Dimitrie Pompeiu cu extindere infrastructură de tramvai și străpungere bd. Barbu Văcărescu, construire drum de legătură între șos. Pipera, bd. Dimitrie Pompeiu</t>
  </si>
  <si>
    <t>Funcție</t>
  </si>
  <si>
    <t>An</t>
  </si>
  <si>
    <t>Subvenții</t>
  </si>
  <si>
    <t>Servicii</t>
  </si>
  <si>
    <t>Lucrări</t>
  </si>
  <si>
    <t>Furnizare - Contract</t>
  </si>
  <si>
    <t>Servicii - Contract</t>
  </si>
  <si>
    <t>Carburant pentru autovehiculele din parcul auto al PMB</t>
  </si>
  <si>
    <t>Furnizare - Acord cadru</t>
  </si>
  <si>
    <t>Rechizite</t>
  </si>
  <si>
    <t>Dispozitive de distrugere a documentelor</t>
  </si>
  <si>
    <t>Rechizite - Hârtie pentru fotocopiatoare</t>
  </si>
  <si>
    <t>Echipamente de birou cu excepția mobilierului</t>
  </si>
  <si>
    <t>Stații grafice cu licențe și accesorii</t>
  </si>
  <si>
    <t>Calculatoare portabile</t>
  </si>
  <si>
    <t>Laptop</t>
  </si>
  <si>
    <t>Calculator PC all in one, sistem de operare win 11, office, antivirus</t>
  </si>
  <si>
    <t>Surse de alimentare neîntreruptibile (UPS)</t>
  </si>
  <si>
    <t>Piese pentru computere (Piese de schimb pentru echipamente tehnică de calcul)</t>
  </si>
  <si>
    <t>Suporturi de stocare date</t>
  </si>
  <si>
    <t>Unități de hard disk, dispozitive de stocare memorie RAM</t>
  </si>
  <si>
    <t>Echipamente electronice IT</t>
  </si>
  <si>
    <t>Imprimantă pentru card de securitate la printare</t>
  </si>
  <si>
    <t>Memory stick 10 buc (32GB), adaptor RJ45-USB</t>
  </si>
  <si>
    <t>Felicitări personalizate (uz protocol)</t>
  </si>
  <si>
    <t>Recipiente izoterme personalizate (uz protocol)</t>
  </si>
  <si>
    <t>Monede și medalii protocol (distribuitor unic Monetăria Statului)</t>
  </si>
  <si>
    <t>Cărți poștale personalizate (uz protocol)</t>
  </si>
  <si>
    <t>Obiecte de artizanat, artă și accesorii (uz protocol)</t>
  </si>
  <si>
    <t>Șervețele de masă personalizate (uz protocol)</t>
  </si>
  <si>
    <t>Magneți personalizați (uz protocol)</t>
  </si>
  <si>
    <t>Obiecte cu însemne naționale (distribuitor unic Romfilatelia)</t>
  </si>
  <si>
    <t>Agende de protocol personalizate</t>
  </si>
  <si>
    <t>Calendare personalizate</t>
  </si>
  <si>
    <t>Cărți de vizită diplomatice</t>
  </si>
  <si>
    <t>Stegulețe din pânză fanion pentru vizitele/întâlnirile diplomatice</t>
  </si>
  <si>
    <t>Umbrele de ploaie personalizate uz protocol</t>
  </si>
  <si>
    <t>Insigne tricolor uz protocol</t>
  </si>
  <si>
    <t>Albume de colecții (uz diplomatic)</t>
  </si>
  <si>
    <t>Stilouri cu rezervor personalizate</t>
  </si>
  <si>
    <t>Cocarda tricolor</t>
  </si>
  <si>
    <t>Suport pentru pahar (uz protocol)</t>
  </si>
  <si>
    <t>Plicuri imprimate personalizate (uz protocol)</t>
  </si>
  <si>
    <t>Mape protocol personalizate (uz protocol)</t>
  </si>
  <si>
    <t>Furnizare produse de promovare turistică personalizate din categoria suvenir</t>
  </si>
  <si>
    <t>Pachete și licențe software</t>
  </si>
  <si>
    <t>Licențe software</t>
  </si>
  <si>
    <t>Pachete software ca serviciu pentru creare de documente și productivitate</t>
  </si>
  <si>
    <t>Pachete software pentru crearea de documente</t>
  </si>
  <si>
    <t>Licențe Software Ticketing și control acces spectatori, pentru turnicheți aflați la incinta Stadionului Arena Națională</t>
  </si>
  <si>
    <t>Servicii RSVTI</t>
  </si>
  <si>
    <t>Servicii de mentenanță preventivă și corectivă pentru instalații HVAC și sanitare (CMISU)</t>
  </si>
  <si>
    <t>Servicii de reparare și de întreținere la instalațiile de ventilație și climatizare</t>
  </si>
  <si>
    <t>Servicii - Acord cadru</t>
  </si>
  <si>
    <t>Servicii de mentenanță corectivă pentru video wall (CMISU)</t>
  </si>
  <si>
    <t>Servicii de reparare și de întreținere a grupurilor de refrigerare (Chillere)</t>
  </si>
  <si>
    <t>Servicii de mentenanță preventivă corectivă, exploatare curentă și operare la evenimente a sistemelor video din cadrul stadionului Arena Națională</t>
  </si>
  <si>
    <t>Servicii hoteliere aferente cursurilor de formare/perfecționare profesională</t>
  </si>
  <si>
    <t>Servicii hoteliere (cazare pentru delegațiile din străinătate ce vin la București)</t>
  </si>
  <si>
    <t>Servicii de cazare la hotel (pentru deplasările în străinătate)</t>
  </si>
  <si>
    <t>Servicii de catering</t>
  </si>
  <si>
    <t>Servicii de asigurare</t>
  </si>
  <si>
    <t>Servicii de asigurare auto obligatorie RCA pentru autoturisme din parcul auto al PMB</t>
  </si>
  <si>
    <t>Servicii de asigurare facultativă CASCO pentru autoturisme din parcul auto al PMB</t>
  </si>
  <si>
    <t>Servicii de asigurare auto obligatorie RCA pentru autoturismele din parcul auto PMB</t>
  </si>
  <si>
    <t>Servicii de asigurare (RCA, CASCO, etc) - prime de asigurare non via (RCA, CASCO, etc.)</t>
  </si>
  <si>
    <t>Servicii de consultanță, diriginție de șantier și SSM pentru obiectivul "Redimensionarea rețelelor publice de apă potabilă și canalizare pe străzile CUTITUL DE ARGINT, ISTRATI CONSTANTIN, sector 4, București"</t>
  </si>
  <si>
    <t>Consultanță pentru verificarea și confirmarea documentelor justificative aferente activității de monitorizare și urmărire post închidere a Celulelor C1-C5 transmise de S.C. IRIDEX GROUP SRL cât și stabilirea tarifului pentru anul 2024</t>
  </si>
  <si>
    <t>Sistem informatic integrat pentru componenta gestiunea resurselor umane ale PMB</t>
  </si>
  <si>
    <t>Servicii de digitalizare a arhivei Comisiei Tehnice de Circulație (CTC) a Municipiului București</t>
  </si>
  <si>
    <t>Studii de fezabilitate</t>
  </si>
  <si>
    <t>Realizarea Complexului multifuncțional destinat mobilității urbane în spațiul din strada Meșterul Manole, nr. 19-Depou Victoria S.P. cu elemente specifice din DALI</t>
  </si>
  <si>
    <t>Studiu parcare redefinire strategie parcare</t>
  </si>
  <si>
    <t>Servicii pentru întocmirea documentației necesare pentru reconfigurare sală parter în dispeceratul integrat CMISU</t>
  </si>
  <si>
    <t>Servicii de conștientizare și informare a populației în domeniul gestionării deșeurilor</t>
  </si>
  <si>
    <t>Servicii de publicitate Anunțuri în Monitorul Oficial al României Partea a VI-a</t>
  </si>
  <si>
    <t>Servicii de publicitate Anunțuri de presă urmare publicitate</t>
  </si>
  <si>
    <t>Proiectare grafică</t>
  </si>
  <si>
    <t>Servicii de publicare în 2 publicații economice și/sau financiare de largă răspândire, a anunțului privind selecția în vederea numirii membrilor în Consiliul de Administrație de la nivelul societății pe acțiuni Compania Municipală Imobiliară București S.A</t>
  </si>
  <si>
    <t>Servicii de publicare în 2 publicații economice și/sau financiare de largă răspândire, a anunțului privind selecția în vederea numirii membrilor în Consiliul de Administrație de la nivelul societății pe acțiuni Societatea de Transport București STB S.A</t>
  </si>
  <si>
    <t>Servicii de publicare în 2 publicații economice și/sau financiare de largă răspândire, a anunțului privind selecția în vederea numirii membrilor în Consiliul de Administrație de la nivelul societății pe acțiuni Centrul de Sănătate STB S.A</t>
  </si>
  <si>
    <t>Servicii de publicare în 2 publicații economice și/sau financiare de largă răspândire, a anunțului privind selecția în vederea numirii membrilor în Consiliul de Administrație de la nivelul societății pe acțiuni Compania Municipală Eco Igienizare București S.A</t>
  </si>
  <si>
    <t>Servicii de publicare în 2 publicații economice și/sau financiare de largă răspândire, a anunțului privind selecția în vederea numirii membrilor în Consiliul de Administrație de la nivelul societății pe acțiuni Compania Municipală Energetica Servicii București S.A.</t>
  </si>
  <si>
    <t>Servicii de publicare în 2 publicații economice și/sau financiare de largă răspândire, a anunțului privind selecția în vederea numirii membrilor în Consiliul de Administrație de la nivelul societății pe acțiuni Compania Municipală Managementul Traficului București S.A</t>
  </si>
  <si>
    <t>Servicii de publicare în 2 publicații economice și/sau financiare de largă răspândire, a anunțului privind selecția în vederea numirii membrilor în Consiliul de Administrație de la nivelul societății pe acțiuni Trustul de Clădiri Metropolitane București S.A</t>
  </si>
  <si>
    <t>Servicii de publicare în 2 publicații economice și/sau financiare de largă răspândire, a anunțului privind selecția în vederea numirii membrilor în Consiliul de Administrație de la nivelul societății pe acțiuni Service Ciclop S.A</t>
  </si>
  <si>
    <t>Servicii de publicare în 2 publicații economice și/sau financiare de largă răspândire, a anunțului privind selecția în vederea numirii membrilor în Consiliul de Administrație de la nivelul societății Compania Municipală Iluminat Public București S.R.L</t>
  </si>
  <si>
    <t>Servicii de publicare în 2 publicații economice și/sau financiare de largă răspândire, a anunțului privind selecția în vederea numirii membrilor în Consiliul de Administrație de la nivelul societății pe acțiuni Compania Municipală Parking București S.A</t>
  </si>
  <si>
    <t>Servicii de publicare în cel puțin o platformă sau site de recrutare resurse umane cu mare vizibilitate la nivel național, a anunțului privind selecția în vederea numirii membrilor în Consiliul de Administrație de la nivelul societății Compania Municipală Iluminat Public București S.R.L</t>
  </si>
  <si>
    <t>Servicii de publicare în cel puțin o platformă sau site de recrutare resurse umane cu mare vizibilitate la nivel național, a anunțului privind selecția în vederea numirii membrilor în Consiliul de Administrație de la nivelul societății pe acțiuni Centrul de Sănătate STB S.A</t>
  </si>
  <si>
    <t>Servicii de publicare în cel puțin o platformă sau site de recrutare resurse umane cu mare vizibilitate la nivel național, a anunțului privind selecția în vederea numirii membrilor în Consiliul de Administrație de la nivelul societății pe acțiuni Trustul de Clădiri Metropolitane București S.A.</t>
  </si>
  <si>
    <t>Servicii de publicare în cel puțin o platformă sau site de recrutare resurse umane cu mare vizibilitate la nivel național, a anunțului privind selecția în vederea numirii membrilor în Consiliul de Administrație de la nivelul societății pe acțiuni Compania Municipală Energetica Servicii București S.A</t>
  </si>
  <si>
    <t>Servicii de publicare în cel puțin o platformă sau site de recrutare resurse umane cu mare vizibilitate la nivel național, a anunțului privind selecția în vederea numirii membrilor în Consiliul de Administrație de la nivelul societății pe acțiuni Compania Municipală Managementul Traficului București S.A</t>
  </si>
  <si>
    <t>Servicii de publicare în cel puțin o platformă sau site de recrutare resurse umane cu mare vizibilitate la nivel național, a anunțului privind selecția în vederea numirii membrilor în Consiliul de Administrație de la nivelul societății pe acțiuni Compania Municipală Eco Igienizare București S.A</t>
  </si>
  <si>
    <t>Servicii de publicare în cel puțin o platformă sau site de recrutare resurse umane cu mare vizibilitate la nivel național, a anunțului privind selecția în vederea numirii membrilor în Consiliul de Administrație de la nivelul societății pe acțiuni Compania Municipală Imobiliară București S.A</t>
  </si>
  <si>
    <t>Servicii de publicare în cel puțin o platformă sau site de recrutare resurse umane cu mare vizibilitate la nivel național, a anunțului privind selecția în vederea numirii membrilor în Consiliul de Administrație de la nivelul societății pe acțiuni Service Ciclop S.A</t>
  </si>
  <si>
    <t>Servicii de publicare în cel puțin o platformă sau site de recrutare resurse umane cu mare vizibilitate la nivel național, a anunțului privind selecția în vederea numirii membrilor în Consiliul de Administrație de la nivelul societății pe acțiuni Societatea de Transport București STB S.A</t>
  </si>
  <si>
    <t>Servicii de publicare în cel puțin o platformă sau site de recrutare resurse umane cu mare vizibilitate la nivel național, a anunțului privind selecția în vederea numirii membrilor în Consiliul de Administrație de la nivelul societății pe acțiuni Compania Municipală Parking București S.A</t>
  </si>
  <si>
    <t>Achiziția de servicii de producție de filme de informare pentru promovarea turistică a orașului București</t>
  </si>
  <si>
    <t>Servicii de publicare în Monitorul Oficial pentru Programul anual pentru acordarea finanțării nerambursabile, în conformitate cu prevederile Legii nr.350/2005, a anunțurilor de participare/atribuire, a raportului cu privire la contractele de finanțare nerambursabilă încheiate în cursul anului fiscal, care va cuprinde programele finanțate, beneficiarii și rezultatele contractului</t>
  </si>
  <si>
    <t>Servicii de publicare juridică pentru înscriere acord pentru constituirea unei garanții asupra veniturilor proprii ale constituitorului și ipotecă mobiliară asupra conturilor în Registrul Național de Publicitate Mobiliară (R.N.P.M.)</t>
  </si>
  <si>
    <t>Servicii de publicare în 2 ziare locale sau unul central pentru Programul anual privind acordarea finanțării nerambursabile de la bugetul local al Municipiului București, pentru activități nonprofit de interes local, conform prevederilor Legii nr. 350/2005, pentru domeniul Protecția mediului înconjurător și Protecția animalelor, aprobat prin H.C.G.M.B. nr. 109/31.07.2024</t>
  </si>
  <si>
    <t>Servicii pentru evenimente</t>
  </si>
  <si>
    <t>Servicii de formare</t>
  </si>
  <si>
    <t>Curs specific de arboricultură în vederea perfecționării și actualizării cunoștințelor personalului din cadrul Direcției de Mediu</t>
  </si>
  <si>
    <t>Servicii de medicină muncii</t>
  </si>
  <si>
    <t>Serviciu de închiriere igienizare toaletă ecologică</t>
  </si>
  <si>
    <t>Servicii de salubrizare</t>
  </si>
  <si>
    <t>Serviciul de ridicare deșeuri în sediile PMB administrate de Direcția Administrativă</t>
  </si>
  <si>
    <t>Servicii de curățenie pentru obiective de protecție civilă</t>
  </si>
  <si>
    <t>Servicii de dezinsecție și deratizare pentru obiective de protecție civilă și CMZB</t>
  </si>
  <si>
    <t>Servicii de curățenie interioară, exterioară PARK&amp;RIDE parcare supraterană terminal STB intersecție Șoseaua Pantelimon-Șoseaua Vergului/Dudești, București, sector 2 pentru anul 2025</t>
  </si>
  <si>
    <t>Servicii de curățenie a spațiilor administrate de Municipiul București prin Direcția Administrativă</t>
  </si>
  <si>
    <t>Servicii de dezinsecție în sediile PMB administrate de Direcția Administrativă</t>
  </si>
  <si>
    <t>Serviciu de dezinsecție deratizare</t>
  </si>
  <si>
    <t>Servicii de mentenanță, asistență tehnică și actualizare software pentru Sistemul Informatic Financiar-Contabil integrat "expert bugetar"</t>
  </si>
  <si>
    <t>Servicii de asistență tehnică permanentă pentru asigurarea funcționării rețelei de senzori pentru monitorizarea calității aerului ambiental</t>
  </si>
  <si>
    <t>Servicii de asistență tehnică permanentă pentru asigurarea funcționării autolaboratorului pentru analiza calității aerului ambiental</t>
  </si>
  <si>
    <t>Servicii de depozitare și registru necesare vânzării, admiterii și menținerii la tranzacționare a emisiunii de obligațiuni municipale programate în luna aprilie 2025, cu maturitate de 10 ani</t>
  </si>
  <si>
    <t>Servicii bancare de conturi curente (un cont în lei și un cont de EURO) necesare derulării contractului de finanțare rambursabilă FI No 96.760 din 31.12.2024/08.01.2025/Serapis No 2023-0374 încheiat cu Banca Europeană de Investiții (BEI)</t>
  </si>
  <si>
    <t>Servicii de mentenanță și întreținere pentru ansamblul format din sistem informare (tabelă electronică) și sistem electromecanic special acoperiș retractabil/videocub, prelată și servicii asociate pentru obiectivul Arena Națională</t>
  </si>
  <si>
    <t>Servicii de consultanță pentru elaborarea Strategiei de marketing pentru municipiul București în domeniul turismului (2026-2030)</t>
  </si>
  <si>
    <t>Servicii pentru organizarea unui stand de promovare în cadrul evenimentului "Neversea Kapital", pe Arena Națională în perioada 04-06.07.2025</t>
  </si>
  <si>
    <t>Asistență tehnică pentru management energetic, elaborarea Programului de îmbunătățire a Eficienței Energetice (PIEE) în Municipiul București</t>
  </si>
  <si>
    <t>Aranjamente florale</t>
  </si>
  <si>
    <t>Furnizare</t>
  </si>
  <si>
    <t>Apă minerală îmbuteliată în sticle de 0,5 litri</t>
  </si>
  <si>
    <t>Materiale-suport pentru prevenirea situațiilor de urgență (cărți, publicații, materiale documentare)</t>
  </si>
  <si>
    <t>Cărți tipărite (uz protocol)</t>
  </si>
  <si>
    <t>Cărți, broșuri și pliante tipărite (uz protocol)</t>
  </si>
  <si>
    <t>Tonere pentru fotocopiatoare</t>
  </si>
  <si>
    <t>Achiziție etichete autocolante pentru rețeaua de senzori a Primăriei Municipiului București</t>
  </si>
  <si>
    <t>Consumabile electrice</t>
  </si>
  <si>
    <t>Cabluri și accesorii de cablare</t>
  </si>
  <si>
    <t>Furnizare și instalare casetă luminoasă pentru sediul Centrului de Informare, Documentare și Relații cu Cetățenii situat în Bd. Regina Elisabeta nr. 42</t>
  </si>
  <si>
    <t>Echipament inspecție video pentru instalații sanitare</t>
  </si>
  <si>
    <t>Accesorii audio video</t>
  </si>
  <si>
    <t>Furnizare și instalare 3 monitoare informare cetățeni pentru sediul Centrului de Informare, Documentare și Relații cu Cetățenii situat în Bd. Regina Elisabeta nr. 42</t>
  </si>
  <si>
    <t>Anvelope</t>
  </si>
  <si>
    <t>Oglinzi de siguranță convexe</t>
  </si>
  <si>
    <t>Furnizare și instalare sistem electronic de dirijare și ordonare a cetățenilor (sistem cu bonuri de ordine) pentru sediul Centrului de Informare, Documentare și Relații cu Cetățenii situat în Bd. Regina Elisabeta nr. 42.</t>
  </si>
  <si>
    <t>Echipamente/ecrane de protecție pentru vânt pentru sonometrele aflate în dotarea Direcției de Mediu</t>
  </si>
  <si>
    <t>Produse de protocol</t>
  </si>
  <si>
    <t>Frigidere</t>
  </si>
  <si>
    <t>Aparate mobile aer condiționat</t>
  </si>
  <si>
    <t>Produse de curățat și lustruit</t>
  </si>
  <si>
    <t>Consumabile auto</t>
  </si>
  <si>
    <t>Ventiloconvectoare</t>
  </si>
  <si>
    <t>Scule electrice</t>
  </si>
  <si>
    <t>Refacere pardoseală CMISU</t>
  </si>
  <si>
    <t>Articole sanitare</t>
  </si>
  <si>
    <t>Scule manuale</t>
  </si>
  <si>
    <t>Ștampile</t>
  </si>
  <si>
    <t>Articole sanitare (baterii lavoar baie)</t>
  </si>
  <si>
    <t>Imprimate la comandă (fișe de instruire SSM)</t>
  </si>
  <si>
    <t>Coperți de dosar</t>
  </si>
  <si>
    <t>Materiale/consumabile electrice pentru Centrul Militar Zonal București</t>
  </si>
  <si>
    <t>Mașină de spălat rufe, mașină de uscat rufe și kit de suprapunere mașini de spălat-uscat pentru Centrul Militar Zonal București</t>
  </si>
  <si>
    <t>Aparatură de iluminat și lămpi electrice</t>
  </si>
  <si>
    <t>Materiale de tâmplărie și lăcătușărie</t>
  </si>
  <si>
    <t>Echipament de protecție și de intervenție pompieri</t>
  </si>
  <si>
    <t>Echipament individual de protecție pentru muncitori</t>
  </si>
  <si>
    <t>Birouri pentru CIDRC</t>
  </si>
  <si>
    <t>Cărucioare de birou</t>
  </si>
  <si>
    <t>Dulap LOKER</t>
  </si>
  <si>
    <t>Sisteme de arhivare</t>
  </si>
  <si>
    <t>Ghid Turistic - București</t>
  </si>
  <si>
    <t>Album - București</t>
  </si>
  <si>
    <t>Produse insecticide în vederea executării tratamentelor de dezinsecție în sediile Municipiului București administrate de Direcția Administrativă</t>
  </si>
  <si>
    <t>Filtre de aer pentru CTA</t>
  </si>
  <si>
    <t>Substanță erbicid</t>
  </si>
  <si>
    <t>Husă canapea și fotoliu</t>
  </si>
  <si>
    <t>Fișă individuală de instructaj în domeniul situațiilor de urgență cu personalizare la comandă</t>
  </si>
  <si>
    <t>Echipament de protecție</t>
  </si>
  <si>
    <t>Echipament tehnic</t>
  </si>
  <si>
    <t>Adaptor prize</t>
  </si>
  <si>
    <t>Ambalaj de unică folosință - caserolă meniu, bol supă, set tacâmuri</t>
  </si>
  <si>
    <t>Imprimante - Panglici pentru imprimante</t>
  </si>
  <si>
    <t>Freon</t>
  </si>
  <si>
    <t>Cutii de depozitare a dosarelor</t>
  </si>
  <si>
    <t>Aparat telefon fix birou</t>
  </si>
  <si>
    <t>Telefon tip centrală secretariat intern</t>
  </si>
  <si>
    <t>Aparat fax</t>
  </si>
  <si>
    <t>Truse de prim ajutor</t>
  </si>
  <si>
    <t>Mobilier pentru amenajarea spațiilor exterioare (bănci de exterior, mese de exterior, coșuri de gunoi de exterior)</t>
  </si>
  <si>
    <t>Aparat de fotografiat</t>
  </si>
  <si>
    <t>Rafturi metalice</t>
  </si>
  <si>
    <t>Pat cu saltea de pat</t>
  </si>
  <si>
    <t>Lenjerii de pat</t>
  </si>
  <si>
    <t>Aspirator și saci de aspirator</t>
  </si>
  <si>
    <t>Fier de călcat, masă de călcat</t>
  </si>
  <si>
    <t>Dezumidificator</t>
  </si>
  <si>
    <t>Plasă de insecte la ferestre</t>
  </si>
  <si>
    <t>Ușă metalică cu demontat ușa veche și montat ușa metalică</t>
  </si>
  <si>
    <t>Cutii de depozitare/arhivare și liză de manevrare</t>
  </si>
  <si>
    <t>Scară aluminiu</t>
  </si>
  <si>
    <t>Indicatoare/marcaje de semnalizare, avertizare și informare</t>
  </si>
  <si>
    <t>Lăcate</t>
  </si>
  <si>
    <t>Folie antiefracție</t>
  </si>
  <si>
    <t>Lance drapel</t>
  </si>
  <si>
    <t>Panou de fotografii GALERIA COMANDANȚILOR CMZB</t>
  </si>
  <si>
    <t>Apă minerală îmbuteliată în sticle de 0.33L și 0,5L</t>
  </si>
  <si>
    <t>Echipament telemetric</t>
  </si>
  <si>
    <t>Sare tablete de dedurizare și rășină de dedurizare</t>
  </si>
  <si>
    <t>Ștampile de sigilare (clește cu amprentă timbru sec)</t>
  </si>
  <si>
    <t>Articole și accesorii electrice precum și corpuri de iluminat</t>
  </si>
  <si>
    <t>Articole și accesorii electrice surse de alimentare</t>
  </si>
  <si>
    <t>Revizii tehnice Dacia Spring</t>
  </si>
  <si>
    <t>Service și piese de schimb pentru autovehiculele din parcul auto al PMB</t>
  </si>
  <si>
    <t>Service post garanție pentru sistemul CorPage implementat la CIDRC</t>
  </si>
  <si>
    <t>Servicii de reparații și întreținere a centralelor telefonice interne (Servicii de asistență tehnică centrală telefonică)</t>
  </si>
  <si>
    <t>Servicii de instalare de utilaje și aparate de filtrare sau de purificare a lichidelor</t>
  </si>
  <si>
    <t>Închiriere de vehicule de transport de persoane cu șofer</t>
  </si>
  <si>
    <t>Servicii anexe pentru transportul aerian</t>
  </si>
  <si>
    <t>Servicii de telefonie și de transmisie de date</t>
  </si>
  <si>
    <t>Pachet software ca serviciu (SaaS) pentru ședințe, teleconferințe, dezbateri și alte activități desfășurate în mediul online</t>
  </si>
  <si>
    <t>Achiziționarea serviciilor de procesare de plăți online pentru anul 2025</t>
  </si>
  <si>
    <t>Achiziționarea serviciilor privind instalarea terminalelor de plată cu cardul pentru anul 2025</t>
  </si>
  <si>
    <t>Servicii de reînnoire a valabilității codului LEI (Legal Entity Identifier / Identificator de Entitate Juridică) pentru Municipiul București</t>
  </si>
  <si>
    <t>Servicii de evaluare a performanței energetice a imobilelor/construcțiilor aflate în proprietatea privată a Municipiului București - Întocmire certificate energetice</t>
  </si>
  <si>
    <t>Studiu de audibilitate la nivelul Municipiului București și realizarea/reabilitarea sistemului de înștiințare, avertizare și alarmare a populației în situații de protecție civilă</t>
  </si>
  <si>
    <t>Servicii de prelucrare de date seismice</t>
  </si>
  <si>
    <t>Verificare metrologică anuală și etalonare pentru aparatura de evaluare a calității mediului din dotarea Direcției de Mediu.</t>
  </si>
  <si>
    <t>Servicii de mentenanță preventivă și corectivă la echipamentul de tomografiere arbori (compus din PICUS 3 Tomograf Sonic și Picus Calliper 3 folding edition)</t>
  </si>
  <si>
    <t>Servicii de conectare în rețeaua metropolitană și accesul la internet al PMB</t>
  </si>
  <si>
    <t>Taxe prelungire valabilitate domenii internet (Nume de domenii internet)</t>
  </si>
  <si>
    <t>Servicii de interconectare a sediilor PMB</t>
  </si>
  <si>
    <t>Pachet servicii subscripție antivirus/antispam</t>
  </si>
  <si>
    <t>Supravegherea Sistemului de Management Integrat (calitate-mediu)</t>
  </si>
  <si>
    <t>Servicii de evaluare a Municipiului București (rating de credit)</t>
  </si>
  <si>
    <t>Servicii de elaborare "Studiu statistic al indicatorilor relevanți pentru evaluarea Strategiei Integrate de Dezvoltare Urbană (SIDU) a Municipiului București"</t>
  </si>
  <si>
    <t>Servicii de consultanță în domeniul evaluării</t>
  </si>
  <si>
    <t>Servicii de interpretariat și de traducere</t>
  </si>
  <si>
    <t>Servicii prestate de un expert independent, persoană fizică sau juridică, specializat în recrutarea resurselor umane în vederea participării la lucrările Comisiei de Selecție și Nominalizare, numită ulterior prin Hotărârea Autorității Deliberative, pentru derularea procedurii de selecție a membrilor în Consiliul de Administrație de la nivelul societății pe acțiuni Centrul de Sănătate STB S.A</t>
  </si>
  <si>
    <t>Servicii prestate de un expert independent, persoană fizică sau juridică, specializat în recrutarea resurselor umane în vederea participării la lucrările Comisiei de Selecție și Nominalizare, numită ulterior prin Hotărârea Autorității Deliberative, pentru derularea procedurii de selecție a membrilor în Consiliul de Administrație de la nivelul societății pe acțiuni Service Ciclop S.A</t>
  </si>
  <si>
    <t>Servicii prestate de un expert independent, persoană fizică sau juridică, specializat în recrutarea resurselor umane în vederea participării la lucrările Comisiei de Selecție și Nominalizare, numită ulterior prin Hotărârea Autorității Deliberative, pentru derularea procedurii de selecție a membrilor în Consiliul de Administrație de la nivelul societății pe acțiuni Compania Municipală Managementul Traficului București S.A</t>
  </si>
  <si>
    <t>Servicii prestate de un expert independent, persoană fizică sau juridică, specializat în recrutarea resurselor umane în vederea participării la lucrările Comisiei de Selecție și Nominalizare, numită ulterior prin Hotărârea Autorității Deliberative, pentru derularea procedurii de selecție a membrilor în Consiliul de Administrație de la nivelul societății pe acțiuni Societatea de Transport București S.A</t>
  </si>
  <si>
    <t>Servicii prestate de un expert independent, persoană fizică sau juridică, specializat în recrutarea resurselor umane în vederea participării la lucrările Comisiei de Selecție și Nominalizare, numită ulterior prin Hotărârea Autorității Deliberative, pentru derularea procedurii de selecție a membrilor în Consiliul de Administrație de la nivelul societății pe acțiuni Compania Municipală Imobiliară București S.A</t>
  </si>
  <si>
    <t>Servicii de tipărire și livrare tichete de creșă</t>
  </si>
  <si>
    <t>Servicii de tipărire și livrare vouchere de vacanță pe suport electronic</t>
  </si>
  <si>
    <t>Servicii de taxare</t>
  </si>
  <si>
    <t>Servicii de analiză de risc la securitatea fizică pentru obiectivele administrate de DIMSU</t>
  </si>
  <si>
    <t>Actualizare standarde folosite în domeniul protecției mediului</t>
  </si>
  <si>
    <t>Servicii de furnizare televiziune</t>
  </si>
  <si>
    <t>Achiziția serviciilor de colectare, transport și neutralizare a animalelor moarte, provenite din gospodăriile crescătorilor individuali de animale, de pe raza municipiului București</t>
  </si>
  <si>
    <t>Servicii de internet, telefonie fixă digitală-voce, date și televiziune, pentru Arena Națională</t>
  </si>
  <si>
    <t>Servicii prestate de un expert independent, persoană fizică sau juridică, specializat în recrutarea resurselor umane în vederea participării la lucrările Comisiei de Selecție și Nominalizare, numită ulterior prin Hotărârea Autorității Deliberative, pentru derularea procedurii de selecție a membrilor în Consiliul de Administrație de la nivelul societății pe acțiuni Trustul de Clădiri Metropolitane București S.A</t>
  </si>
  <si>
    <t>Servicii prestate de un expert independent, persoană fizică sau juridică, specializat în recrutarea resurselor umane în vederea participării la lucrările Comisiei de Selecție și Nominalizare, numită ulterior prin Hotărârea Autorității Deliberative, pentru derularea procedurii de selecție a membrilor în Consiliul de Administrație de la nivelul societății Compania Municipală Iluminat Public București S.R.L.</t>
  </si>
  <si>
    <t>Servicii prestate de un expert independent, persoană fizică sau juridică, specializat în recrutarea resurselor umane în vederea participării la lucrările Comisiei de Selecție și Nominalizare, numită ulterior prin Hotărârea Autorității Deliberative, pentru derularea procedurii de selecție a membrilor în Consiliul de Administrație de la nivelul societății pe acțiuni Compania Municipală Eco Igienizare București S.A.</t>
  </si>
  <si>
    <t>Servicii prestate de un expert independent, persoană fizică sau juridică, specializat în recrutarea resurselor umane în vederea participării la lucrările Comisiei de Selecție și Nominalizare, numită ulterior prin Hotărârea Autorității Deliberative, pentru derularea procedurii de selecție a membrilor în Consiliul de Administrație de la nivelul societății pe acțiuni Compania Municipală Energetica Servicii București S.A</t>
  </si>
  <si>
    <t>Servicii prestate de un expert independent, persoană fizică sau juridică, specializat în recrutarea resurselor umane în vederea participării la lucrările Comisiei de Selecție și Nominalizare, numită ulterior prin Hotărârea Autorității Deliberative, pentru derularea procedurii de selecție a membrilor în Consiliul de Administrație de la nivelul societății pe acțiuni Compania Municipală Parking București S.A</t>
  </si>
  <si>
    <t>Servicii de întreținere a ascensoarelor</t>
  </si>
  <si>
    <t>Servicii de întreținere a ascensoarelor din Centrul Municipal Integrat pentru Situații de Urgență (C.M.I.S.U)</t>
  </si>
  <si>
    <t>Servicii revizie curentă lunară, mentenanță, ISCIR-izare și asistență tehnică pentru ascensoarele de persoane și marfă din cadrul stadionului Arena Națională pentru anul 2025</t>
  </si>
  <si>
    <t>Servicii de neutralizare graffiti antisemit pentru obiectivul de investiții "Pasaj rutier, denivelat superior Bărăgan"</t>
  </si>
  <si>
    <t>Servicii de defrișare</t>
  </si>
  <si>
    <t>Servicii de reparații fotolii din cadrul Stadionului Arena Națională</t>
  </si>
  <si>
    <t>Servicii de întreținere și reparare a fotocopiatoarelor, piese, accesorii</t>
  </si>
  <si>
    <t>Servicii de verificare și revizie tehnică periodică a instalației de utilizare gaze naturale la obiective de protecție civilă</t>
  </si>
  <si>
    <t>Servicii de închiriere aparate de filtrare/de purificare a apei pentru Centrul Militar Zonal București</t>
  </si>
  <si>
    <t>Servicii de reparare și de întreținere a echipamentului de stingere a incendiilor</t>
  </si>
  <si>
    <t>Servicii de energie electrică și servicii conexe - PRAM</t>
  </si>
  <si>
    <t>Servicii de asistență tehnică, mentenanță și instruire sistem informatic integrat pentru echipamente active rețea</t>
  </si>
  <si>
    <t>Servicii de verificare și curățare coșuri fum la imobilul din B-dul Regina Elisabeta, nr.47, sector 5 - sediul Primăria Municipiului București</t>
  </si>
  <si>
    <t>Servicii de revizie tehnică Grup Electrogen ZENESSIS model ESE 360DW</t>
  </si>
  <si>
    <t>Servicii de inspecție tehnică ISCIR</t>
  </si>
  <si>
    <t>Servicii de întreținere și verificare a construcțiilor - verificare instalație de utilizare a gazelor naturale</t>
  </si>
  <si>
    <t>Servicii de creație, proiectare grafică și traducere aferente materialelor de promovare, inclusiv drepturile de autor aferente creației acestora (pachet turistic)</t>
  </si>
  <si>
    <t>Studiu de consum cultural la nivelul orașului București</t>
  </si>
  <si>
    <t>Servicii de lichidare judiciară</t>
  </si>
  <si>
    <t>Executare a plăcii de marmură "Galeria Comandanților"</t>
  </si>
  <si>
    <t>Servicii de realizare curs de specializare și perfecționare în scopul instruirii personalului Direcției de Mediu pentru utilizarea și administrarea sonometrelor și a softului specializat</t>
  </si>
  <si>
    <t>Refacere zonă protecție puțuri</t>
  </si>
  <si>
    <t>Închidere zonă de protecție generatoare</t>
  </si>
  <si>
    <t>Reparații curente la obiectivele de protecție civilă și/sau puncte de comandă</t>
  </si>
  <si>
    <t>Lucrări de reparații, renovare și amenajări interioare în sediul Centrului de Informare, Documentare și Relații cu Cetățenii situat în Bd. Regina Elisabeta nr. 42</t>
  </si>
  <si>
    <t>Furnizate</t>
  </si>
  <si>
    <t>Echipamente IT</t>
  </si>
  <si>
    <t>Materiale personalizate</t>
  </si>
  <si>
    <t>Servicii hoteliere</t>
  </si>
  <si>
    <t>Servicii de consultanţă în materie de deşeuri</t>
  </si>
  <si>
    <t>Servicii de programare şi de consultanţă software</t>
  </si>
  <si>
    <t>Servicii de publicitate</t>
  </si>
  <si>
    <t>Servicii de formare/perfecționare profesională</t>
  </si>
  <si>
    <t>Servicii de închiriere, amplasare şi întreţinere a toaletelor</t>
  </si>
  <si>
    <t>Servicii de colectare a deşeurilor</t>
  </si>
  <si>
    <t>Servicii de curăţenie şi igienizare</t>
  </si>
  <si>
    <t>Alte servicii</t>
  </si>
  <si>
    <t>Servicii de reparare şi de întreţinere a aparatelor de testare</t>
  </si>
  <si>
    <t>Servicii de brokeraj şi servicii conexe titlurilor şi mărfurilor</t>
  </si>
  <si>
    <t>Servicii de gestionare a tranzacţiilor financiare şi servicii de case de compensare</t>
  </si>
  <si>
    <t>Servicii de urbanism</t>
  </si>
  <si>
    <t>Furnizare directă</t>
  </si>
  <si>
    <t>Lucrări directe</t>
  </si>
  <si>
    <t>Servicii directe</t>
  </si>
  <si>
    <t>ID_angajat</t>
  </si>
  <si>
    <t>Pachet servicii subscripție antivirus, antispam</t>
  </si>
  <si>
    <t>Producție de filme de informare</t>
  </si>
  <si>
    <t>P.U.Z Drum radial 9</t>
  </si>
  <si>
    <t>P.U.Z Drum radial 10</t>
  </si>
  <si>
    <t>Transmisie de date mobile</t>
  </si>
  <si>
    <t>Serviciul de ridicare a deșeurilor de la sediile Primăriei Municipiului București administrate prin Direcția Administrativă - pentru anul 2026</t>
  </si>
  <si>
    <t>Achiziționarea serviciilor de procesare de plăți prin terminal POS și online pentru plata cu cardurile bancare a sumelor datorate bugetului Municipiului București pentru anul 2026</t>
  </si>
  <si>
    <t>Servicii de inspecție tehnică</t>
  </si>
  <si>
    <t>Extinderea și reabilitarea infrastructurii de apă și apă uzată în zonele Ghidigeni, Oltenitei, Cheile Turzii și Henri Coandă</t>
  </si>
  <si>
    <t>Reabilitarea sistemului de termoficare</t>
  </si>
  <si>
    <t>Înnoirea parcului de vehicule destinate transportului public prin achiziția a unui număr de 22 de troleibuze cu emisii zero sau cu baterii</t>
  </si>
  <si>
    <t>Achiziționarea de vehicule nepoluante pentru transportul public</t>
  </si>
  <si>
    <t>Modernizarea și dotarea liniilor de tramvai</t>
  </si>
  <si>
    <t>ID_direcție</t>
  </si>
  <si>
    <t>ID_achiziție</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</si>
  <si>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</si>
  <si>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</si>
  <si>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</si>
  <si>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</si>
  <si>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</si>
  <si>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</si>
  <si>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</si>
  <si>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</si>
  <si>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</si>
  <si>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</si>
  <si>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</si>
  <si>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</si>
  <si>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1289f067-b401-48b4-b17b-5b2e6fe7f371</t>
  </si>
  <si>
    <t>CB_Block_0</t>
  </si>
  <si>
    <t>㜸〱敤㕣㔹㙣㈴㐷ㄹ㥥㙡捦㡣愷挷昶摡㔹㙦㡥つ㈱㌱攴㈴㕥㥣昵㈶㑢〸戰㉣㍥戲㐷昰慥㥤戵㜷〳〲㌴摢㥥愹㕥㜷㜶扡摢改敥昱慥㐳愴㐴㄰㉥㜱㠹㔳〴挲愱〸㈱㈱㄰挷㑢〸挷ぢㄲㄲ〸㉤ㄲて昰㠰〴㈸㈰〴て㈰戴ㄲ㉦㍣㜰㝤㕦㜵昷㑣昷㡣愷敤㑣ㄲ㜰㤰㙢㌳扦慢敢敡慡晡捦晡晦敡攴㐴㉥㤷晢㌷ㄲ晦㌲攵㤹戹㙥㜱摤て愴㍤㌱攳搶敢戲ㅡ㔸慥攳㑦㑣㜹㥥戱㍥㘷昹㐱ㅦㅡㄴ㉢ㄶ敡晤㐲挵户ㅥ㤶愵捡㥡昴㝣㌴㉡攴㜲愵㤲慥愱㥥㠳昰㌷ㄲ㍦攸散㌵㤸〷㔸㥡㤹㥥㕦㝥㄰愳㉥〶慥㈷昷㡤㥤〹晢ㅥ㥡㥣㥣㤸㥣㌸戸晦敥〳ㄳ晢昷㡤捤㌴敡㐱挳㤳㠷ㅣ搹〸㍣愳扥㙦㙣愱戱㕣户慡㙦㤶敢㑢敥㜹改ㅣ㤲换晢敦㕣㌶敥㝡敤攴㕤〷て㥡昷摣昳摡㐱扣㍡㜷㜲㘶㝡挱㤳愶晦〲㡤㔹攰㤴敦㥡㤵㔵㡢㙢㤳搲戳㥣㜳ㄳ㌳搳昸㉦㌱㝦㍣摤㍤戱戸㈲㘵挰㔷㑢㑦㍡㔵改敢攸㌸㘰㑦昹㝥挳㕥攵收改昶ㄱ㉣戵㙡昸㐱挱㥥㤱昵扡㙥挷愳㤶散㜹散㕤摤㔸ㅦ戴ㄷ愵攳㕢㠱戵㘶〵敢㐵㝢〹〳搵㠶散搳扥㍣㘵㌸攷攴㐹挳㤶〵晢㘸挳慡攵挳㤴敢扢㌵ㅥ㈲㌹㌱戵晣㠹㈹摦㥥㔹㌱㍣㌵㈳㥦ㅢ㤳搱昶㠸㔷㑤户扤戱晢戸㥣扡㝡〳挷扣戹㝢㍢搴㥣㌱扣㘶换昱敥㉤愳挵愷㘷㜰㐷昷昶㠹㍤㑡昷㜹㔵昷㍥㙡㉢搳慤挵㐰㐴摦㙡㐷戱ㄸ扤㐸搰㑦㔰㈲㈰〲昵㌲挱〰挱㈰㠰挸晦つ㕣㤲散挸㉡慤㘲㘸㤵㘵慤㔲搵㉡㌵慤㈲戵㡡愹㔵捥㘹㤵ㄵ慤㘲㘹㤵〷戵捡㜹戴㠹㔳愹扦㕦㡢搲挷晥昸戵慦㕦㉡摦㌴晢搵摦晥收㡡戹㝦捥晦㙢㜰ㄷㅡ摤ㅦ㑤㙡搶㌳㉥㠰搴㕡㔴っ㡥攰扦捤戹〲㑣㘱ㅥ㌴敦㌶㈷㈷㙢〷昷ㅢ㜷ㅡ〵㉥㉢〳昹㈹㐲ㄹ㐱摢㐱昳〱换愹戹ㄷㄴ敥慥㥢㌶㝣搹摡戸昱愸㙥摡㙤㌸㌵晦㘵ㅢ㔷㉥〶㐶㈰慦㙤慦㙢つ搲搱㙤ㄱ㙣㈵㝤昵扥敢摢扢㥤㌱敡つ㌹㜵搱ち慢㕦摥㔶㙤㉦㜸敥㜲昷摡㈳㥥㝣愸㔹摢㌱愳㈹〸戵㌵㌵㜶挷㉡挳慡㜰㕥㘳㌳㉢慥㉦ㅤ㌵扤㜱㝢挱慡㥥㤷摥愲愴㐸㤴㌵戵搴㉢㔹ㄵ㜱晤昸扣㠳㠵㠲㕢㙢慦㑣㤶㥡昷㕥っ挰捣戲㠶昹慥㑡㉦㔸㕦㌲㤶敢昲慡㔴㤳昰㥤愸搸㥢㉡㍥攲㔶ㅢ晥㡣敢〴㥥㕢㑦搷㑣搵搶っ㐸㥡摡〹户㈶昳昹㥣ㄲち㄰戸㝤㝤㐲攴㙥敦捥ぢちㄱ〹ㄴ㤳㤱慦㐹㤳摤挴㈹慣づ慢愸㑢搲愴㜶搳㈶㠳㜱扥㑡挶㘴㜰㘰㘲㑤搴ㅦ㝣改㙤㥢っ摢挴摣㡢摢㔸搳㐶愳搵摦扢㈶㥤攰㤸攱搴敡搲换搴㝥㠲㌳搲㠷〱ち㤷㈱㄰扡敥ㅥ㔵㥤戸㈸搶ぢㄷ慣㕡戰㔲㕣㤱搶戹㤵〰㘵搰㤰愵ㄲ户戶㈳改㔷愰㐸摦㑤㌰ち㔰㉥攷㡡㝢搸愸㔸㐶捡ㄵ㈸㥤㌲㜸㌹㈵挸搹㉦挵换㠳收ㄱ慢ㅥ挸㔰㈸て㥢挰㐸愸搵ㄴ晡㠶㐸愲㥥㔱つㄵ挶ㅥ㜳〶㔴㙡㔸㑥戰摥攲摢づ㉥〹㠹㘸㐷ㄶ㙣㍢㔹㐰㔱㤰㤶〷ㄹ扣〶愲㘹㤳〶搹㡤ㄳ㐴㐴㌶挸搰散ㄸ㌹㑤㘴㙣㥦㈱㈳搰㍥㐹㠴㙣扤扦扢㡣㈰戱㜷ㄲ㈹㍢㜵攵挷ㅤ㘹戶㤱㉤ㅦ㑡戳㉢戱㜱晡㔵〴㔷ㄳ㕣㐳戰ㄷ㐰晣ㄱㄲ㡥㔲づ昹㜴搲㕦㠶㘷晤㍡㠲㤷〳㐰㍥改㤴㌹㤱愸愲つ戵ㄵ㍢㤲敤㠶㘰㈷㉢愳㌸ㄴ㐵戴㡣㥢㜶收㤰慤㄰ㅤ㔹㥤摢㐳搷收㤵㡥扤愵㍢㙤㈶㤷㐳㡡捣㘸㥡㕣敢㈶㑤㤳ㅢ挱愶㍤敡慤ㅢ搰㔵ㅦ㈳㜸〵㐰㔹㝦㈵㈱㤴ぢつ摥慤㔹昴㌴㈹㕦ㄲ㘶㔱㘸っ昵愸攰㈳㐲收ㄱ㈰㐳挸㜵ㅣ㕦㜶㙣㘸㥡㠳攳收㑢摥㠶摥搷㥤扦㈳愴户改捤ㅤ扤㐳㝦搱㜳戴愲㙦〴㝢㠹㕦㜷搵㌱㌷愳㕡扦㠵攰㔶㠰㌶ㅤ挳搳昷㜳昵ㄴ㈸戳搸㑥㘰㙥㌷扤㉥捡捡㕤㕡㕦㤵㑡〳つ㥡㑢㠶㜷㑥〶昰㘰ㅣ㥦㠵㉤散㝡㥥慣攳㔰㕢㔳〵㍣扦㕣㥤㉥昴㡦㜸慥捤昲ㅤㅢ搹㝦㐹㈸㠶㝣㕥敢换戵搹挸ㄹ戶㘶挲攷㤴愰ㅣ敡攰㍢扢ぢ㠹㐴愷㌴㜹戱㕦昶昹㜲㐷㤲昴㈰㐹㕥㠵㙤搵㙦〷㠰㤴㄰扦散㉡㔱昶戱搹慢㔵戳戴挵㑡て㕦挶改愴捤㠷搸㈱㐷〶㐲㠷敤㌴晣〷晥㤰扤㘸搹㑤㘱㌱㘰㉦㐸慦ち摦㠲㔵㤷攵搰㉤㑢㔱戳㈳㉢㕥㈲戲愲慦慦攳㍣㥤攱㕦㔳㜴搲㈶㈵㌲戹㍤戳㌲攳㉣摥㈲㉡扡㈱㈹㔴㌲㕣㐳㑤〹㐴捡㘳摢ㅤㄱ搳㠳㠸戹〳ㅢ愷敦㈷㤸㈴㌸〰㔰昸ㄹ㈴捤㔶㌷㥥攱戰晥㌵扡戴㉢㤵㕣㠹㘸㔰㉥挲㑢㕤㠵搵㐱扥收㌵〴㜷〳戴㤹㍦㜴㐰㘶㄰愲㐲㜹㠲㄰㔵ㄸ挳㍣㘳挹ぢ愴㠱㕤㈶〲㑢㌳つ㍦㜰㙤㐶㤶㠶捣㔹昷愴ㅢ捣㕡晥㉡㈲㔱愳㘶㤴㜹㘰㐵㍡愰㉥て戶㑦㕢㤹扢扡㉡㙢扡戹攸㌶㈰摡㡥捦㙥㠷㠳㌹戶〳戶愴㍡㥢㙢〲愹户昳㌱㠶㄰搸㘹攵㙦愵㌷㜶㑢摥㙦ㅥ晡㠶㕢㍢扡㘴〵㜵㌹㘰㠶㑣挷㝣挹挴㉥㈲㜲㔰敢㌷㤷㔶㍣㈹㘷㠷捣愳㥥㔵慢㕢㡥㈴㌲㘰㘳㌲㔸㌷㈷捦㈱㑡戰攰㌲〶攸㍡㐳收㤲㘷㌸晥慡挱㠰攲晡敥搴㤳ち㡢ㄴ捣㘹换昱昱ㅡ㠵㐵收㠷捤挵ㄵ昷〲㈲戶つ摢㌹㙡慣晡摢〲㉢㈴晡㌰㈹搴〸㑤㘸㥡㈸㘹愵㕥昱挳〳㜹㉥㐷摥换ㄳ㈸㕣攵ち昴㤹㘷㘸㙦摡昵㔱㡣㠶㜶㍡攷㌴㠸攸㔱戳戰㉦㔳ち㤳㔳昵㝢搸攷㜵〰昷ㅤ㍤㝤扣ㄵ㤹㝢㕥㌱敢〲扤晣ㄹ㌲㕥㤱㐵㌳㄰㐲ㅦ摤慥㤰㔴㔸㐶捡〱〷〲攳㝣㙡㈷扦戲愹摡㤰晡㜶戵戲㐷㄰㐹ㅡ㌴攷㡣㘵㔹㐷㍣摡㌶㠲㕤攱〳捤㔸摢愸晢㔱摤㡣㙢摢〶㐹㡢㘴戹㔸㌵㐸挱㔳㡤挰㍤㘱㌹扡〹愰攸㉦㉡㌲㉥愲挸戸愸㡡〶捤㔳っつ慡㍣挷㜲捦ㄹ㥥ㄵ慣搸㔶戵挴〷㠶敦戶〵㑤㠲挹㈹㜹攳ㄴ换㡣戱㌶㙢晥㌴㑣㌶㝦〲攸㥥㠰ㅣ攵搶ㄱ晤愰㕣㑤ㄴ昱㑦昴攸㔸㠲㠰㔱㥥㔲晤つㄸ慤愰㙥㐷㐰攴愸㜴㌹扥㠳㜱昹㔱㤴㠴㐲㠸㔸捦㈰ㄱ㜸〵ㄳ㐲㥥㉥敥愲㜹摡戱〲㘰㡦ㄸ㍢㘲〵戳㍥㔰づ㠰慣㍡摥㕥慢戰㥡攸㌴摥搴ち㌷㜴㔶愵搴挴昵㥤昵㐹扤㜱搳〶搵愱㐶㐹㈸㤲捤ㅡ㈹捤戲挱ㅣ户㤳慡ㄱ㑡㜱挷摡㐶㘴戹㑤㕢晢㑥㈹昲㍣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挱昴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攵㈸扡㝢昹㔱昵㤸扢っ㔴㈸っ〸挶㜸㜹ち捡㘱㔷挱㐸㌴戸戵㤶搵㉤ㄸ晤愵攵慤㑦〱〸㠶㠱㘹搰愲㘵㘸攰捣㈰扦戹㠱㜳〳㕡㘵㐴㐸㤳挱㔴挶㈸㐷攱戰〷搲挰㑤㍣㐸㉦戹㔰㐲挱ㅥ㜵㌱㉣扥㥢㌸㙥攳〸攴㝡㔷戵ㄵ㉥ㄸ〱慥扦㌸㝢摢㡡愷㙡㌵㥡扢昰捦㙤ぢ慣攲敡㐶㘸㡥敥㘹扢㤴愵搶㐴晢敥挶戶㡡攸戲攰㠱搹㠹㘳㐶㔰㕤㔹っ搶挳㡢㕢扤㤲㐴攱〷昰㐷㙣昸㜶摡捣㜹㠷ㄷ㔱搷戸昷攵昳㡥㝢挱㔱昳㉡昸扣昵〷ち挱ㄵ捡㝥㑥戲㥣晢㌷晥愹愴攵ち摦挷㠸㕢㤹㌶〷㘸㌹㐸㌸㡥㑡愱㌴ㄸ㐳㍥㠳㑥㘰扢㌷㙦つ㤰㑥昶戴搱㠹ㄲ〴㍢㠴攲㥣㝢挱〸㐵㝣て㘸㈵戱㠴㐷㜲散昹㔷挰晡攲扢㈸㈱挲昱ㅣ㠹㤱挲㉢㤰换㐰㥤ㄲ攴搱ㄵて㕥〸昹晦挱㔲捣捤ㅢ戲搳㝦㠱㤹挵㌳敤㈸扡㥥㈸晡㑥〷㡡〴慦㠱㈸晥扤て㤹㌸ㄵㄸ㥥㝤㑥㠱㜰慥㘹攷〰晡愲㕦昸晤ㅦㅥ㐰攷㈲攲㔰㌶ㅡ㐲㙤㌷攳戹㘹㈲昴㜵㤸〸っ摥㉢ㄳ攱〴㌲㠲㔱晣搰㐴㠸㝣㈰昳㈸搸摣㐴㘰㙣㉦挳㄰㑣㠴㕡ㄳ㙥つ㥥挰慥戲改ㅦ㍢㠶㡢户搲㐷㍣ㅦ㑡换㥦㠱㐷敡敡捥攲〵挳㌳散扤慡晣愸㈷愱捣扣㈵摣攴㔶㕤搸攳摡つ㙢㔴愷つ㝣ㄵ戱㤷㝤挷㥦戲戵晢敢挰㔴㤸㐲昷扤㈸㠹攲昳昰㤴〸㥥ㅢ㜲敦摣昳㡤愳扦㝢昸昱挳扣慤ㄶ搱㙡攱㜶攴㝢〹搹搳㥥㐰㔰㌷㜱㔱攴㑡㝥㤸㜳〲㥦㈸㔹慢㜵㌹㙤㜸捡ち昲㜵㍢捥㠶㠴㤷㈰捣㤰昸戶㠳㠹㠹㝢て愱㠹㌹搱收敥㔴ㅦ㌶㈹ㄷ攱㐴㘲攲捡愷ㄷ㠷つ㐵㔷㐵搶愳戵㔹昸ㄶ㔴搱㜳㥣㐸摡㑡攴愹㤳㐹㠸㙦戶敢扡㠳搴㜵攱㐱㠶㘱晦㔸㑡㈱晥㐰ち㐹ㅥ㘴㜸㈱㐰㐹愹㔳挸ㄴ敥〰挸㠸慣戵㠷㜸改て搸ㄱ〲戲㜹改慦挷㡦㔸戰㡢挰㘲散㡢敦昵㐴㑢㕢㌴㔶㑤っ搵㉡㥢㘶ㄱㄹ㜵㜸㘱挱㘴㕣㥡戲㜴づ愰㜴换敥㈸扥㘴挸づ〳㙦㈱㘳ㄷ㙣晡摡捡昶扤㑥〳㌷㍦愰㘷㡡㑡㘱㌸扢㔹㡣〳愹㡡搱㠵㑤换㘱ㄱ攱㜰㤸㙤㜶ㅡ㠸慡愰戳㥣扤㌸㤵㈲昸挷㉦㠵㔸㍦摥ㅡ晡捡昶ㅡ敡㌸愷ㅦぢ攴て昶搷昵ㄹ㡣㡤户㤲㘳㈰㘱户搴慡ㄴ㕥て㍦㡤㉥㕣㜴㑥攸慤慣㝡ㄶ〷昱㈷收慣㍥慤㐳晦㌳㝡慤㌸敢っ㝢㌳㡣㥤搲晦㙦㐱挱愶晡㕦㌰昶愶㄰昹搶㈸挳㠷〲攳㈷㥢㠶㙣戸㈳昰㙣㈳㜸愳づ挶扡捡㌲攴ㅤ收ㄶ昱昱㙡㔸慤㈴㌸晣㕥昹昶慢ㄱ捤扥戴㙤〷扡ち㐰挶㠶ち㕦㠱〸敡摡㍦㉤户攲搳㙤昱㙤攸戸攷㠴㔵昵㕣摦㌵㠳戱㐵〴㝤挷昸敤㤹〹㥢㘷㑡㝣戹㕤愸摤㠸㥤ㄸ㝣〷晡㥣㥣㠷挰㍥㈹㠳ㄷ㉡ㄶ挹挸挲搶㈲ㄹ晣づ㘹㈴ㄱ㕥愲㜶昰慦㌰敦㙦ㄸ㜵㝣扡㍡て㕦㘷挰愲㙤愱散㐲㡦㜳晢つつ㙥ㅤ敥㘸扤ㄹ晥㈰㔹㥦㐰㜰㑣㉤攱㙤敦攰扥戶敦㐱扡㙤戴㌶㥦㉤㝢昳戹㤵ぢ㑦〱愷㕢㝢㑢㥡㘴昸㑥㝥㤱㕣搶㉢㠴戸戴㝦ㄸ㝦户敥愰攵㘸愳愰昳攸㠳㙥㍡挲挶敢㜰㥦㙤㈱晡㝤ㄶ㕤挵ㄴ〱㝥扡ㄱ㘵昸㈰攸攵㈳㉢㡡㉦㘰㔹㘴〰攴㜳挵㉡㐰㜷慡㝥㜲㈳慡ㅥ㠹〵戲攰ㄹ㠳攴㔸ㄶ㥦㐳㐳㙥㔷戸㙣戰〴㤷㉤搴㔹〲㜹㍤敥㠱㝣㑥昰㉣愱㈶昲ㄹ㜴㘸㑥挴㐲㘹昷㠹㝣㝡愳㠹〸㕡〱㙡愱挹昱㐷㘲㉤愲搷㔱慤摢〴づ㠱ぢ㌰㑣戱㐸㔹㔳っ㐳ぢ摦㈵㘶㤰㝥ㅥ晤㝤昶昰捦㉥㌱晤攵戰㔰㠲㄰㔵改挹㔳㄰慡挹㝦㌴㌹㜹て愵摤㈷晦攱㡤㈶㍦㐲ㄹ挹㤹攸〱挰㔰㥦愸攰㡦㕡㑣〳ㄹ敥㈳㝦攲㉣〱㝥愹㔹㡣ㄸ㈸㔱㝤㉦㈰㠳扥摣㜰搵敡㈲㌲㜱摦〲搷㥦昱㜱㡦戲㡦㜸ㄱ㤲扥㥣㘲攸㡣㉤㠶㕡戱㘴㐷㕥搸㙤㈱ㅢ戰㈴㝥㉤摢㔵愴ㄷ㝢㡣昰㡢昷挵㠸㌹㜶㉣晥㜲㑡㡢㘲㑥㈰㡣搰㈲㈵晤㜰㈳挵㝢攳挶摦㝥扡攵㌲㐵〵ㄲ愸㈷㙣㑣㍡㔳㡤摦ㄳ㌷㍥㠰慦戲㔴㥢ㅣ㙦㄰㌰㍤ㅢ㌷㈶㍤慡挶㡦挷㡤晦㝣㘰㙦戳㜱㑣㠷攱挸〵ㄲ㐹㠶慤慢慣晦挴ㄷ摡挳㘸㕥㌰愹㍦〷捣戰㤸㤲㔳㠵㡥敢㑡㠳づ攲㌲㠸㠷㙦愴攷㜰户〹㔷㐰㈰㘴挳晦㔵挲㜱摣㜹㥡㌵〲〳㥦㐰慦㈱搸散改敡㠹㥤㡢收扣㠷㠲㝥昳戸㡦㌳㔵㙤㕢㤱〸捣㠱㝣戸扦㥢㌸攵㌳㑣挷搶㝥挴㐱㌲㡤㜷㐸㝡㔳ㅥ㉡戰㤲ㄷ敦㡡㌱㥢㝢慣㐵㌳晡愳㐰づ愴㈳㈰㌳晡㘳㠰㘱㈰㠶户㤵㜳㈳攴㝦挵摣敦㘲挵扢〹ㅥ〷㈸ぢ㌲㍢改愰昸ㅥ㠰攱昸㝦㔴㌱戶愶晣㈵㥡㜸㌸㝥㔹㤲㡣昴昷戱挳晢〱晡攰扥ㄵㄱㄱ㤶昵て愰㈴昹㔲ちづ昵搲て戲攲㐳〴ㅦ〶㈸ㄷ㌸搹㉤敦ㅡ搷搴愳收晡〸扡㡡挷〸昰搳㍦ㅡ㘵昸㔰攰㍥扣扥扢慤捣愳㜰晣㘱㍦㐲㥤愹㉦昸敦挵ㄷ昹敢㕣㜴ㅦ晥㠷㈴〵㘵搸攷戵搷昵㌶ㄶ㤹㠰㌶戹晡慤㘲戳㥦挷㌸㕣㔷㉢㠲挲ㄱ愹㔴㑡㕡㔱㄰摦㕣戰㜰昱〶扥攵㤰慡㄰㠲㌴愰㉡㥣愸攲㌰ち昴㑦戰㈹㜱㑣㍣改㥦攴ㄳ㔱慢㌶昱㔳㔱㠶て㠲㜸㔵摤ㅦ㡣扡挷㉦㈴慥㔵㠵搵昶㐲攲㕦㔵慣㈴㕦昸〴〷㔳挸㐲㈶慤㤵㠸㌴㐵㐳㥦㐳㘶愸㙦㤸㜳㝢〰㍦敤愲愸㥥慤㥤㍤晢昷攱晣搸戵昹户扣㘹昰㠹㘷㝦晡晢㡦晦攲敤㠷晥昴㡦㈷㥦晣挵ㅦ㍥㝥改ㅦ㍦㔸㍥昴攳愷㥥晡搱㝤㕦扣昴晢摤收㤷戴愷晦㍥昷愵㐷㈶捦㍦昲㤰㜹晡昶愳㡦扣昵挱晢㈷ㄷ慥ㄸ敦敢敢敦扦㜵昴㈷搷摣㌶昲搸㐳捦㠸ㅦ晥敡㙡㐷愸攵攲〵改㘹㜰搹㙡ㅡ㥦㐷〶搳攰㡣㕦搴㘹㜰戹㙡愳㤶愳㡤㥡㐶㐱〹㍥つ㑥㐰㔵ㄸ改㡡㠱晦〰㌸搹戴㔲</t>
  </si>
  <si>
    <t>Decisioneering:7.0.0.0</t>
  </si>
  <si>
    <t>f98baf5d-6a10-4b42-b2a6-7b303273e036</t>
  </si>
  <si>
    <t>CB_Block_11.1.1000.0:1</t>
  </si>
  <si>
    <t>Decisioneering:11.1.1000.0</t>
  </si>
  <si>
    <t>㜸〱敤㕣㔹㙣㈴㐷ㄹ㥥㙡捦㡣愷挷昶摡㔹㙦㡥つ㈱㜱〸㈱㠷ㄷ㘷扤挹ㄲ〲㉣㡢㡦散ㄱ扣㙢㘷敤摤㠰㌸㘶摢㌳搵敢捥㑥㜷㍢摤㍤摥㜵㠸㤴〸挲㈵〸㤱戸㜳㜰㈸㐲㤱㜸攱㤴㈰ㅣ㉦㐸㐸㐱㈸㐸㍣挰〳ㄲて〱㈱㜸〰愱㤵㜸攱〱〹扥慦扡㝢愶㝢挶搳㜶㈶〹㌸挸戵㤹摦搵㜵㜵㔵晤㘷晤㝦㜵㜲㈲㤷换晤ㅢ㠹㝦㤹昲捣㕣戳戸敥〷搲㥥㤸㜱敢㜵㔹つ㉣搷昱㈷愶㍣捦㔸㥦戳晣愰てつ㡡ㄵぢ昵㝥愱攲㕢て捡㔲㘵㑤㝡㍥ㅡㄵ㜲戹㔲㐹搷㔰捦㐱昸ㅢ㠹ㅦ㜴昶ㅡ捣〳㉣捤㑣捦㉦摦㡦㔱ㄷ〳搷㤳晢挶捥㠴㝤て㑤㑥㑥㑣㑥ㅣ摣㝦攷㠱㠹晤晢挶㘶ㅡ昵愰攱挹㐳㡥㙣〴㥥㔱摦㌷戶搰㔸慥㕢搵㜷换昵㈵昷扣㜴づ挹攵晤户㉦ㅢ㜷扣㜵昲㡥㠳〷捤扢敥㝡敢㈰㕥㥤㍢㌹㌳扤攰㐹搳㝦㠵挶㉣㜰捡㜷捣捡慡挵戵㐹改㔹捥戹㠹㤹㘹晣㤷㤸㍦㥥敥㥣㔸㕣㤱㌲攰慢愵㈷㥤慡昴㜵㜴ㅣ戰愷㝣扦㘱慦㜲昳㜴晢〸㤶㕡㌵晣愰㘰捦挸㝡㕤户攳㔱㑢昶㍣昶慥㙥慣て摡㡢搲昱慤挰㕡戳㠲昵愲扤㠴㠱㙡㐳昶㘹㕦㥥㌲㥣㜳昲愴㘱换㠲㝤戴㘱搵昲㘱捡昵摤ㄴて㤱㥣㤸㕡晥挴㤴㙦捦慣ㄸ㥥㥡㤱捦㡤挹㘸㝢挴慢愶摢摥搰㝤㕣㑥㕤扤㠱㘳摥搸扤ㅤ㙡捥ㄸ㕥戳攵㜸昷㤶搱攲搳㌳戸慤㝢晢挴ㅥ愵晢摣搲扤㡦摡捡㜴㙢㌱㄰搱户摡㔱㉣㐶㉦ㄲ昴ㄳ㤴〸㠸㐰扤㑣㌰㐰㌰〸㈰昲晦〰㤷㈴㍢戲㑡慢ㄸ㕡㘵㔹慢㔴戵㑡㑤慢㐸慤㘲㙡㤵㜳㕡㘵㐵慢㔸㕡攵㝥慤㜲ㅥ㙤攲㔴敡敦搷愲昴攴〷㙢捦㝦㘹昸㉢㈷扦户敦昶㘷慦㝢散晢捦っ敥㐲愳㝢愳㐹捤㝡挶〵㤰㕡㡢㡡挱ㄱ晣户㌹㔷㠰㈹捣㠳收㥤收攴㘴敤攰㝥攳㜶愳挰㘵㘵㈰㍦㐵㈸㈳㘸㍢㘸摥㘷㌹㌵昷㠲挲摤㌵搳㠶㉦㕢ㅢ㌷ㅥ搵㑤扢つ愷收扦㙥攳捡挵挰〸攴搵敤㜵慤㐱㍡扡㉤㠲慤愴慦摥㜷㙤㝢户㌳㐶扤㈱愷㉥㕡㘱昵敢摢慡敤〵捦㕤敥㕥㝢挴㤳て㌴㙢㍢㘶㌴〵愱戶愶挶敥㔸㘵㔸ㄵ捥㙢㙣㘶挵昵愵愳愶㌷㙥㉦㔸搵昳搲㕢㤴ㄴ㠹戲愶㤶㝡㌹慢㈲慥ㅦ㥦㜷戰㔰㜰㙢敤つ挹㔲昳敥㡢〱㤸㔹搶㌰摦㔵改〵敢㑢挶㜲㕤㕥㤱㙡ㄲ扥ㄳㄵ㝢㔳挵㐷摣㙡挳㥦㜱㥤挰㜳敢改㥡愹摡㥡〱㐹㔳㍢攱搶㘴㍥㥦㔳㐲〱〲户慦㑦㠸摣慤摤㜹㐱㈱㈲㠱㘲㌲昲㔵㘹戲㥢㌸㠵搵㘱ㄵ㜵㐹㥡搴摥戸挹㘰㥣慦㤲㌱ㄹㅣ㤸㔸ㄳ昵〷㕦㝡昳㈶挳㌶㌱昷敡㌶搶戴搱㘸昵㜷慦㐹㈷㌸㘶㌸戵扡昴㌲戵㥦攰㡣昴㘱㠰挲㈵〸㠴慥扢㐷㔵㈷㉥㡡昵挲〵慢ㄶ慣ㄴ㔷愴㜵㙥㈵㐰ㄹ㌴㘴愹挴慤敤㐸晡㘵㈸搲㜷ㄳ㡣〲㤴换戹攲ㅥ㌶㉡㤶㤱㜲〵㑡愷っ㕥㑥〹㜲昶㑢昱昲愰㜹挴慡〷㌲ㄴ捡挳㈶㌰ㄲ㙡㌵㠵扥㈱㤲愸㘷㔴㐳㠵戱挷㥣〱㤵ㅡ㤶ㄳ慣户昸戶㠳㑢㐲㈲摡㤱〵摢㑥ㄶ㔰ㄴ愴攵㐱〶慦㠱㘸摡愴㐱㜶攳〴ㄱ㤱つ㌲㌴㍢㐶㑥ㄳㄹ摢㘷挸〸戴㑦ㄲ㈱㕢敦敦㉥㈳㐸散㥤㐴捡㑥㕤昹㜱㐷㥡㙤㘴换㠷搲散㜲㙣㥣㝥〵挱㤵〴㔷ㄱ散〵㄰㝦㠶㠴愳㤴㐳㍥㥤昴搷攱㔹扦㠶攰昵〰㤰㑦㍡㘵㑥㈴慡㘸㐳㙤挵㡥㘴扢㈱搸挹捡㈸づ㐵ㄱ㉤攳愶㥤㌹㘴㉢㐴㐷㔶攷昶搰戵㜹愵㘳摦搴㥤㌶㤳换㈱㐵㘶㌴㑤慥㜵㤳愶挹㡤㘰搳ㅥ昵搶㜵攸慡㡦ㄱ㕣て㔰搶摦㐰〸攵㐲㠳㜷㙢ㄶ㍤㑤捡搷㠴㔹ㄴㅡ㐳㍤㉡昸㠸㤰㜹〴挸㄰㜲ㅤ挷㤷ㅤㅢ㥡收攰戸昹㥡户愱昷㜵攷敦〸改㙤㝡㜳㐷敦搰㕦昴ㄲ慤攸ㅢ挰㕥攲昷㕤㜵捣㡤愸搶摦㐴㜰ㄳ㐰㥢㡥攱改晢愵㝡ち㤴㔹㙣㈷㌰户㥢㕥ㄷ㘵攵㉥慤慦㑡愵㠱〶捤㈵挳㍢㈷〳㜸㌰㡥捦挲ㄶ㜶㍤㑦搶㜱愸慤愹〲㥥㕦慥㑣ㄷ晡㐷㍣搷㘶昹㡥㡤散扦㈶ㄴ㐳㍥慦昵攵摡㙣攴っ㕢㌳攱㜳㑡㔰づ㜵昰敤摤㠵㐴愲㔳㥡扣搸㉦晢㝣戹㈳㐹㝡㤰㈴户㘰㕢昵㕢〱㈰㈵挴㙦扢㑡㤴㝤㙣昶㘶搵㉣㙤戱搲挳㤷㜱㍡㘹昳㈱㜶挸㤱㠱搰㘱㍢つ晦㠱㍦㘴㉦㕡㜶㔳㔸っ搸ぢ搲慢挲户㘰搵㘵㌹㜴换㔲搴散挸㡡搷㠸慣攸敢敢㌸㑦㘷昸搷ㄴ㥤戴㐹㠹㑣㙥捦慣捣㌸㡢户㠸㡡㙥㐸ち㤵っ搷㔰㔳〲㤱昲搸㜶㐷挴昴㈰㘲㙥挳挶改晢〹㈶〹づ〰ㄴ㝥〵㐹戳搵㡤㘷㌸慣㝦㡤㉥敤㑡㈵㔷㈲ㅡ㤴㡢昰㠵慥挲敡㈰㕦昳ㄶ㠲㍢〱摡捣ㅦ㍡㈰㌳〸㔱愱㍣㐱㠸㉡㡣㘱㥥戱攴〵搲挰㉥ㄳ㠱愵㤹㠶ㅦ戸㌶㈳㑢㐳收慣㝢搲つ㘶㉤㝦ㄵ㤱愸㔱㌳捡摣户㈲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㕤散昳㌶㠰㝢㡥㥥㍥摥㡡捣扤慣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づ㡣㔶㔰户㈳㈰㜲㔴扡ㄴ摦挱戸昴㌰㑡㐲㈱㐴慣㘷㤰〸扣㠲〹㈱㑦ㄷ㜷搱㍣敤㔸〱戰㐷㡣ㅤ戱㠲㔹ㅦ㈸〷㐰㔶ㅤ㙦慦㔶㔸㑤㜴ㅡ㙦㙡㠵敢㍡慢㔲㙡攲摡捥晡愴摥㜸攳〶搵愱㐶㐹㈸㤲捤ㅡ㈹捤戲挱ㅣ户㤳慡ㄱ㑡㜱挷摡㐶㘴戹㑤㕢晢㑥㈹昲㌲ㄴ㤳愲㤹㥣晥㑥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摦て㡢㈷㥦㘰晡收攱㕣㥣㠹㤸㠸攱慥っ敢〱挸㑤㐶㈶挹㐵愳㜱挰㍣㤴㙣㑡㘸つ挶㘵㌴㌱㠶㘸昲㜹〱㙥昱㌰㤶㌵㑣戶愹攳㥥㕢㘰㐱㥢搶搷㜷㤹挷㥤㙡扤㔱㤳㑡ㄵ挷戲㕡㘹攴㙤㠱㉦㜵〵㌰攴愶㡣㝤㠹㌶攵㌸㡥㔲㕣㌲㤱搴扢摤慤ㅦ㐶㜷㈵攴㌰㐶愸晡ㄸ㠰捣㜰换愹㠰㔸挷㍤〵摡㠷扢㕢ㄷㄸ搴攵㌹㠸戴㡥㈲捡戲㌹摣挷㙢㐶㤱ㄵ户㈵㥡捤戹㜳㉥㙤昶㐴搱㌱㉢㉣摡ㄶ㌸挲㍡㐳㠱㔷㉣挲ㄸ改㤱㍢㌸㐸敥㔲ㄴ摤扤昴戰㝡捣㕤〲㉡ㄴ〶〴㘳扣㍣〵攵戰慢㘰㈴ㅡ摣㕡换敡ㄶ㡣晥搲昲搶愷〰〴挳挰㌴㘸搱㌲㌴㜰㘶㤰摦摣挰戹づ慤㌲㈲愴挹㘰㉡㘳㤴愳㜰搸〳㘹攰㈶ㅥ愴㤷㕣㈸愱㘰㡦扡ㄸㄶ摦㑤ㅣ户㜱〴㜲扤㉢摡ちㄷ㡣〰搷㕦㥣扤㙤挵㔳戵ㅡ捤㕤昸攷戶〵㔶㜱㜵㈳㌴㐷昷戴㕤捡㔲㙢愲㝤㜷㐳㕢㐵㜴㔹昰挰散挴㌱㈳愸慥㉣〶敢攱挵慤㕥㐹愲昰㔳昸㈳㌶㝣㍢㙤收扣挳㡢愸㙢摣晢昲㜹挷扤攰愸㜹ㄵ㝣摥晡〳㠵攰ち㘵㍦㈷㔹捥晤ㅢ晦㔴搲㜲㠵㥦㘰挴慤㑣㥢〳戴ㅣ㈴ㅣ㐷愵㔰ㅡ㡣㈱㥦㐱㈷戰摤㥢户〶㐸㈷㝢摡攸㐴〹㠲ㅤ㐲㜱捥扤㘲㠴㈲㝥っ戴㤲㔸挲㈳㌹昶晣㔹戰扥昸ㄱ㑡㠸㜰㍣㐷㘲愴㜰㍤㜲ㄹ愸㔳㠲㍣扡攲挱ぢ㈱晦㍦㔸㡡戹㜹㐳㜶晡㉦㌰戳㜸慥ㅤ㐵搷ㄲ㐵㍦散㐰㤱攰㌵㄰挵扦昷㈰ㄳ愷〲挳戳㉦㈹㄰捥㌵敤ㅣ㐰㕦昵ぢ扦晦挳〳攸㕣㐴ㅣ捡㐶㐳愸敤㐶㍣㌷㑤㠴扥づㄳ㠱挱㝢㘵㈲㥣㐰㐶㌰㡡ㅦ㥡〸㤱て㘴ㅥ〵㥢㥢〸㡣敤㘵ㄸ㠲㠹㔰㙢挲慤挱ㄳ搸ㄵ㌶晤㘳挷㜰昱㔶晡㠸攷㐳㘹昹㌳昰㐸㕤搹㔹扣㘰㜸㠶扤㔷㤵ㅦ昵㈴㤴㤹户㠴㥢摣慡ぢ㝢㕣扤㘱㡤敡戴㠱慦㈲昶戲敦昸㔳戶㜶㝦ㅤ㤸ち㔳攸扥ㄷ㈵㔱㝣ㄹ㥥ㄲ挱㜳㐳敥㐳㝢扥㜵昴てて㍥㝡㤸户搵㈲㕡㉤摣㡡㝣㉦㈱㝢摡ㄳ〸敡㈶㉥㡡㕣捥て㜳㑥攰ㄳ㈵㙢戵㉥愷つ㑦㔹㐱扥㙥挷搹㤰昰ㄲ㠴ㄹㄲ摦㜶㌰㌱㜱敦㈱㌴㌱㈷摡摣㥤敡挳㈶攵㈲㥣㐸㑣㕣昹昴攲戰愱攸慡挸㝡戴㌶ぢ摦㠱㉡㝡㠹ㄳ㐹㕢㠹㍣㜵㌲〹昱敤㜶㕤㜷㤰扡㉥㍣挸㌰散ㅦ㑢㈹挴ㅦ㐸㈱挹㠳っ㉦〴㈸㈹㜵ち㤹挲㙤〰ㄹ㤱戵昶㄰㉦晤〱㍢㐲㐰㌶㉦晤昵昸ㄱぢ㜶ㄱ㔸㡣㝤昱扤㥥㘸㘹㡢挶慡㠹愱㕡㘵搳㉣㈲愳づ㉦㉣㤸㡣㑢㔳㤶捥〱㤴㙥搹ㅤ挵㤷っ搹㘱攰㉤㘴散㠲㑤㕦㕢搹扥摢㘹攰收〷昴㑣㔱㈹っ㘷㌷㡢㜱㈰㔵㌱扡戰㘹㌹㉣㈲ㅣづ戳捤㑥〳㔱ㄵ㜴㤶戳ㄷ愷㔲〴晦昸愵㄰敢挷㕢㐳㕦摥㕥㐳ㅤ攷昴㘳㠱晣挱晥扡㌶㠳戱昱㔶㜲っ㈴散㤶㕡㤵挲敢攱愷搱㠵㡢捥〹扤㤵㔵捦攲㈰晥挴㥣搵愷㜵攸㝦㐶慦ㄵ㘷㥤㘱㙦㠶戱㔳晡晦㍤㈸搸㔴晦ぢ挶摥ㄴ㈲摦ㅢ㘵昸㔰㘰晣㘴搳㤰つ㜷〴㥥㙤〴㙦搴挱㔸㔷㔹㠶扣挳摣㈲㍥㕥つ慢㤵〴㠷摦㉢摦㝥㌵愲搹㤷戶敤㐰㔷〱挸搸㔰攱㔹㠸愰慥晤搳㜲㉢㍥摤ㄶ摦㠷㡥㝢㑥㔸㔵捦昵㕤㌳ㄸ㕢㐴搰㜷㡣摦㥥㤹戰㜹愶挴㌷摡㠵摡つ搸㠹挱て愰捦挹㜹〸散㤳㌲㜸愵㘲㤱㡣㉣㙣㉤㤲挱敦㤰㐶ㄲ攱㈵㙡〷晦㌲昳摥㠶㔱挷愷慢昳昰㜵〶㉣摡ㄶ捡㉥昴㌸户摦搰攰搶攱㡥搶扢攱て㤲昵〹〴挷搴ㄲ摥昷〱敥㙢晢ㅥ愴摢㐶㙢昳搹戲㌷㥦㕢戹昰っ㜰扡戵户愴㐹㠶敦攴ㄷ挹㘵扤㐲㠸㑢晢㠷昱㜷敢づ㕡㡥㌶ち㍡㡦㍥攸愶㈳㙣扣づ昷搹ㄶ愲摦㘷搱㔵㑣ㄱ攰愷ㅢ㔱㠶て㠲㕥㍥戲愲昸㉡㤶㐵〶㐰㍥㔷慣〲㜴愷敡愷㌷愲敡㤱㔸㈰ぢ㥥㌱㐸㡥㘵昱ㄴㅡ㜲扢挲㘵㠳㈵戸㙣愱捥ㄲ挸敢㜱て攴㜳㠲㘷〹㌵㤱㉦愳㐳㜳㈲ㄶ㑡扢㑦攴㡢ㅢ㑤㐴搰ち㔰ぢ㑤㡥㍦ㄲ㙢ㄱ扤㡥㙡摤㈶㜰〸㕣㠰㘱㡡㐵捡㥡㘲ㄸ㕡昸ㄱ㌱㠳昴敢攸敦㡢㠷㝦昵〲搳摦づぢ㈵〸㔱㤵㥥㍣〵愱㥡晣攳挹挹㝢㈸敤㍥昹挷㌶㥡晣〸㘵㈴㘷愲〷〰㐳㝤愲㠲㍦㙡㌱つ㘴戸㡦晣㠹戳〴昸愵㘶㌱㘲愰㐴昵扤㠰っ晡㜲挳㔵慢㡢挸挴㝤ぢ㕣㝦挶挷㍤捡㍥攲㐵㐸晡㜲㡡愱㌳戶ㄸ㙡挵㤲ㅤ㜹㘱户㠵㙣挰㤲昸戵㙣㔷㤱㕥散㌱挲㉦㍥ㅥ㈳收搸戱昸换㈹㉤㡡㌹㠱㌰㐲㡢㤴昴挳㡤ㄴㅦ㡢ㅢ㝦昷〷㉤㤷㈹㉡㤰㐰㍤㘱㘳搲㤹㙡晣搱戸昱〱㝣㤵愵摡攴㜸㠳㠰改挵戸㌱改㔱㌵㝥㌴㙥晣搷〳㝢㥢㡤㘳㍡っ㐷㉥㤰㐸㌲㙣㕤㘵晤㈷扥搰ㅥ㐶昳㠲㐹晤㌹㘰㠶挵㤴㥣㉡㜴㕣㔷ㅡ㜴㄰㤷㐱㍣㝣㈳㍤㠷扢㑤戸〲〲㈱ㅢ晥慦ㄲ㡥攳捥搳慣ㄱㄸ昸〴㝡つ挱㘶㑦㔷㑦散㕣㌴攷㍤ㄴ昴㥢挷㝤㥣愹㙡摢㡡㐴㘰づ攴挳晤摤挴㈹㥦㘱㍡戶昶㈳づ㤲㘹扣㐳搲㥢昲㔰㠱㤵扣昸㜰㡣搹摣㈳㉤㥡搱ㅦ〶㜲㈰ㅤ〱㤹搱ㅦ〱っ〳㌱扣慤㥣ㅢ㈱晦㉢收晥㌰㉢㍥㐲昰㈸㐰㔹㤰搹㐹〷挵㡦〲っ挷晦愳㡡戱㌵攵㉦搱挴㠳昱换㤲㘴愴㝦㥣ㅤ㍥〱搰〷昷慤㠸㠸戰慣㝦ㄲ㈵挹㤷㔲㜰愸㤷㝥㡡ㄵ㥦㈶㜸っ愰㕣攰㘴户扣㙢㕣㔳㡦㥡敢㌳攸㉡ㅥ㈱挰㑦㝦㍣捡昰愱挰㝤㜸㝢㜷㕢㤹㐷攱昸挳㝥㠴㍡㔳㕦昰摦㡤㉦昲搷戹攸㍥晣て㐹ち捡戰捦㙢㙦敢㙤㉣㌲〱㙤㜲昵㕢挵㘶扦㡣㜱戸慥㔶〴㠵㈳㔲愹㤴戴愲㈰扥戹㘰攱攲つ㝣换㈱㔵㈱〴㘹㐰㔵㌸㔱挵㘱ㄴ攸㥦㘳㔳攲㤸㜸搲㍦捦㈷愲㔶㙤攲ㄷ愲っㅦ〴昱慡扡摦ㅦ㜵㡦㕦㐸㕣慢ち慢敤㠵挴扦慡㔸㐹扥昰〹づ愶㤰㠵㑣㕡㉢ㄱ㘹㡡㠶㥥㐲㘶愸㙦㤸㜳扢て㍦敤愲愸㥥慤㥤㍤晢捦攱晣搸搵昹昷扣㙢昰㠹ㄷ㝦昹挷捦晥收晤㠷晥昲慦愷㥦晥捤㥦㍥晢挲扦㝥扡㝣攸昹㘷㥥昹昹㍤㕦㝢攱㡦扢捤慦㙢㍦昸攷摣搷ㅦ㥡㍣晦搰〳收改㕢㡦㍥昴摥晢敦㥤㕣戸㙣扣慦慦扦晦愶搱㕦㕣㜵昳挸㈳て㍣㈷㝥昶扢㉢ㅤ愱㤶㡢ㄷ愴愷挱㘵慢㘹㝣〵ㄹ㑣㠳㌳㝥㔵愷挱攵慡㡤㕡㡥㌶㙡ㅡ〵㈵昸㌴㌸〱㔵㘱愴㉢〶晥〳㐳っ戲愷</t>
  </si>
  <si>
    <t xml:space="preserve">Salariu </t>
  </si>
  <si>
    <t>Direcție</t>
  </si>
  <si>
    <t>Obiectul_contractului</t>
  </si>
  <si>
    <t>Tip_contract</t>
  </si>
  <si>
    <t>Sursă_finanțare</t>
  </si>
  <si>
    <t>Direcția_inițiatoare</t>
  </si>
  <si>
    <t>Venituti_totale</t>
  </si>
  <si>
    <t>Cheltuieli_totale</t>
  </si>
  <si>
    <t>Număr_angajați</t>
  </si>
  <si>
    <t>Nume_direcție</t>
  </si>
  <si>
    <t>Nume_responsabil</t>
  </si>
  <si>
    <t>Nume_angajat</t>
  </si>
  <si>
    <t>Valoare(lei)</t>
  </si>
  <si>
    <t>Direcție_responsabilă</t>
  </si>
  <si>
    <t>Obiect_contract</t>
  </si>
  <si>
    <t>Parte_contractantă</t>
  </si>
  <si>
    <t>Data_contract</t>
  </si>
  <si>
    <t>Servicii de consultanţă pentru realizarea unui sistem de analizăa îndeplinirii obiectivelor şi ţintelor pentru gestionareadeşeurilor şi pentru serviciul public de salubrizare</t>
  </si>
  <si>
    <t>Denumire_achiziție</t>
  </si>
  <si>
    <t>Stații servere și echipamente de procesare</t>
  </si>
  <si>
    <t>Servicii de mentenanță preventivă</t>
  </si>
  <si>
    <t>Achiziționare autobuze electrice necesare îmbunătățirii transportului public de călători</t>
  </si>
  <si>
    <t>Sistem ITS integrat Smart&amp;Green Mobility</t>
  </si>
  <si>
    <t>ECOALITY: Tineret și Autorități Locale împreună pentru justiția de gen și climatică</t>
  </si>
  <si>
    <t>Calculator de birou</t>
  </si>
  <si>
    <t>Materiale uz protocol personalizate</t>
  </si>
  <si>
    <t>Servicii pentru auditul proiectului Extinderea și reabilitarea infrastructurii de apă și apă uzată în zonele Ghidigeni, Olteniței, Cheile Turzii și Henri Coandă, Municipiul București</t>
  </si>
  <si>
    <t>Servicii de informare și publicitate pentru Extinderea și reabilitarea infrastructurii de apă și apă uzată în zonele Ghidigeni, Olteniței, Cheile Turzii și Henri Coandă, Municipiul București</t>
  </si>
  <si>
    <t>Servicii de informare și publicitate pentru restul de executat din proiectul Extinderea și reabilitarea infrastructurii de apă și apă uzată în zonele Ghidigeni, Olteniței și Cheile Turzii din Municipiul București</t>
  </si>
  <si>
    <t>Achiziția serviciului de informare și publicitate-rest rămas de prestat pentru proiectul "Reabilitarea sistemului de termoficare al Municipiului București-Etapa a II-a"</t>
  </si>
  <si>
    <t>Servicii de audit financiar</t>
  </si>
  <si>
    <t>Servicii de publicitate, informare și promovare</t>
  </si>
  <si>
    <t>Servicii de informare, publicitate și promovare</t>
  </si>
  <si>
    <t>Servicii de informare, publicitate și promovare pentru obiectivul de investiții...</t>
  </si>
  <si>
    <t>Servicii de campanii de publicitate în cadrul proiectului european "ECOALITY: Tineret și autorități locale împreună pentru justiția de gen și climatică"</t>
  </si>
  <si>
    <t>Servicii de organizare de seminarii în cadrul proiectului european "ECOALITY: Tineret și autorități locale împreună pentru justiția de gen și climatică"</t>
  </si>
  <si>
    <t>Servicii de transport aerian pentru deplasarea în Croația...</t>
  </si>
  <si>
    <t>Servicii de cazare la hotel pentru deplasarea în Croația...</t>
  </si>
  <si>
    <t>Cheltuieli curente</t>
  </si>
  <si>
    <t>Investiții</t>
  </si>
  <si>
    <t>Alte surse</t>
  </si>
  <si>
    <t>Ciucu Ciprian</t>
  </si>
  <si>
    <t>Vigheciu Adrian Nicolae</t>
  </si>
  <si>
    <t>Miu Andreea Mihaela</t>
  </si>
  <si>
    <t>Zamfir Georgiana</t>
  </si>
  <si>
    <t>Grigoraș Daniela</t>
  </si>
  <si>
    <t>Ion Marin</t>
  </si>
  <si>
    <t>Balea Silvana Gabriela</t>
  </si>
  <si>
    <t>Jugureanu Emanuela</t>
  </si>
  <si>
    <t>Marica Mirela</t>
  </si>
  <si>
    <t>Anasia-Oprițescu Roxana Elena</t>
  </si>
  <si>
    <t>Stănuca Victor</t>
  </si>
  <si>
    <t>Călin Diana Ionela</t>
  </si>
  <si>
    <t>Boncotă Lenuța</t>
  </si>
  <si>
    <t>Coman Victor Emanuel</t>
  </si>
  <si>
    <t>Cristea Elena Gabriela</t>
  </si>
  <si>
    <t>Achim Ana Marijeana</t>
  </si>
  <si>
    <t>Constantin Irina</t>
  </si>
  <si>
    <t>Aflat Cătălin Sebastian</t>
  </si>
  <si>
    <t>Hristu Mădălina Carmen</t>
  </si>
  <si>
    <t>Bardan Lorena Mihaela</t>
  </si>
  <si>
    <t>Turcu Cătălin Nicolae</t>
  </si>
  <si>
    <t>Cristea Paul Cristian</t>
  </si>
  <si>
    <t>Popeci Marius</t>
  </si>
  <si>
    <t>Marin Valentin</t>
  </si>
  <si>
    <t>Anca Gabriela</t>
  </si>
  <si>
    <t>Legea Florin - Marius</t>
  </si>
  <si>
    <t>Abdula Neida</t>
  </si>
  <si>
    <t>Popescu Floriana Isabela</t>
  </si>
  <si>
    <t>Toma Cătălin</t>
  </si>
  <si>
    <t>Damian Matei</t>
  </si>
  <si>
    <t>Cristea Bogdan Florin</t>
  </si>
  <si>
    <t>Iktimur Elena Cătălina</t>
  </si>
  <si>
    <t>Rușanu Dana Maria</t>
  </si>
  <si>
    <t>Rămnicianu Corina-Mădălina</t>
  </si>
  <si>
    <t>Sandu Genoveva</t>
  </si>
  <si>
    <t>Dragomir Cezar Nicolae</t>
  </si>
  <si>
    <t>Iorescu Virginica</t>
  </si>
  <si>
    <t>Nove Coralia Denisa</t>
  </si>
  <si>
    <t>Popescu Irinel Adrian</t>
  </si>
  <si>
    <t>Brod Mariana</t>
  </si>
  <si>
    <t>Sunică Nicoleta</t>
  </si>
  <si>
    <t>Raportaru Georgeta</t>
  </si>
  <si>
    <t>Plăcintă Mircea Gabriel</t>
  </si>
  <si>
    <t>Văsii Camelia</t>
  </si>
  <si>
    <t>Buleandră Ileana</t>
  </si>
  <si>
    <t>Surugiu Pânzaru Orlando</t>
  </si>
  <si>
    <t>Brînzea Camelia-Elena</t>
  </si>
  <si>
    <t>Ionescu Roxana</t>
  </si>
  <si>
    <t>Paicu Ioana</t>
  </si>
  <si>
    <t>Amuzan Ana</t>
  </si>
  <si>
    <t>Littera Valentin</t>
  </si>
  <si>
    <t>Gușavan Laurenția Cătălina</t>
  </si>
  <si>
    <t>Stoean Nicolae</t>
  </si>
  <si>
    <t>Iordache Cătălina</t>
  </si>
  <si>
    <t>Boblea Irina</t>
  </si>
  <si>
    <t>Pop Cristina-Daniela</t>
  </si>
  <si>
    <t>Ticu Tinel Speranțiu</t>
  </si>
  <si>
    <t>Dimitriu Dragoș</t>
  </si>
  <si>
    <t>Mitarcă Tiberiu</t>
  </si>
  <si>
    <t>Kritikos Carmen Antoaneta</t>
  </si>
  <si>
    <t>Zoican Cătălin Ion</t>
  </si>
  <si>
    <t>Stoica Ionel</t>
  </si>
  <si>
    <t>Grigoraș Constantin Răzvan</t>
  </si>
  <si>
    <t>Popa Simona Mariana</t>
  </si>
  <si>
    <t>Neacșu Traian</t>
  </si>
  <si>
    <t>Duțu Adriana Simona</t>
  </si>
  <si>
    <t>Davidoiu Eugen</t>
  </si>
  <si>
    <t>Preda Cristian-Emanoil</t>
  </si>
  <si>
    <t>Petre Codrin</t>
  </si>
  <si>
    <t>Vasile Sorin Nicolae</t>
  </si>
  <si>
    <t>Socolovici Răzvan-Mihai</t>
  </si>
  <si>
    <t>Nicolescu Nicoleta</t>
  </si>
  <si>
    <t>Soare Nicolae</t>
  </si>
  <si>
    <t>Perșunaru Mariana</t>
  </si>
  <si>
    <t>Măndescu Camelia Elena</t>
  </si>
  <si>
    <t>Renaud Dragoș Mihai</t>
  </si>
  <si>
    <t>Ucă Floriana-Marina</t>
  </si>
  <si>
    <t>Halipa Veronica Tatiana Maria</t>
  </si>
  <si>
    <t>Chiriță Mihaela</t>
  </si>
  <si>
    <t>Panait Diana Ecaterina</t>
  </si>
  <si>
    <t>Lungu Patricia Elena Maria</t>
  </si>
  <si>
    <t>Pleșu Vasilica</t>
  </si>
  <si>
    <t>Cercel Dana Roxana</t>
  </si>
  <si>
    <t>Bădoiu Elena</t>
  </si>
  <si>
    <t>Iordache Adrian</t>
  </si>
  <si>
    <t>Bărbulescu Daniela Eugenia</t>
  </si>
  <si>
    <t>Surcel Alexandru Cristian</t>
  </si>
  <si>
    <t>Bican Elena Georgiana</t>
  </si>
  <si>
    <t>Falan Catia Viviana</t>
  </si>
  <si>
    <t>Manole Marian</t>
  </si>
  <si>
    <t>Ciolacu Mihaela</t>
  </si>
  <si>
    <t>Lupșan Florentina Carmen</t>
  </si>
  <si>
    <t>Drăgoi Geta</t>
  </si>
  <si>
    <t>Zelko Daniela Felicia</t>
  </si>
  <si>
    <t>Tomescu Daniela Georgeta</t>
  </si>
  <si>
    <t>Coroboianu Mihaela-Gabriela</t>
  </si>
  <si>
    <t>Dinescu Alexandru</t>
  </si>
  <si>
    <t>Ghiță Nicușor</t>
  </si>
  <si>
    <t>Tărtăcuță Ion Victor</t>
  </si>
  <si>
    <t>Atanasiu Filip</t>
  </si>
  <si>
    <t>Gligore Violeta Felicia</t>
  </si>
  <si>
    <t>Eremia Cristian</t>
  </si>
  <si>
    <t>Trifu Liliana</t>
  </si>
  <si>
    <t>Pătru Ana Mihaela</t>
  </si>
  <si>
    <t>Diaconu Radu</t>
  </si>
  <si>
    <t>Bica Ștefan Daniel</t>
  </si>
  <si>
    <t>Rusu Celina Cecilia</t>
  </si>
  <si>
    <t>Toma Ana Maria</t>
  </si>
  <si>
    <t>Dediu Manuela Geanina</t>
  </si>
  <si>
    <t>Pădureț Ana Maria</t>
  </si>
  <si>
    <t>Trăilescu Gabriela Alina</t>
  </si>
  <si>
    <t>Sfetcu Elena Melania</t>
  </si>
  <si>
    <t>Dragnea Petre Bogdan Cătălin</t>
  </si>
  <si>
    <t>Budriman Anne-Marie-Cristina</t>
  </si>
  <si>
    <t>Sumanariu Andreea</t>
  </si>
  <si>
    <t>Alexandrescu Raluca Oana</t>
  </si>
  <si>
    <t>Buduluș Cătălina Maria</t>
  </si>
  <si>
    <t>Ipate Carmen Marilena</t>
  </si>
  <si>
    <t>Zamfir Predoiu Ioana</t>
  </si>
  <si>
    <t>Mincă Liliana</t>
  </si>
  <si>
    <t>Fotache Iulia</t>
  </si>
  <si>
    <t>Ghiță George Mădălin</t>
  </si>
  <si>
    <t>Petre Cristian Daniel</t>
  </si>
  <si>
    <t>Direcția Generală Economică</t>
  </si>
  <si>
    <t>Direcția Generală Investiții</t>
  </si>
  <si>
    <t>Direcția Generală Servicii Publice</t>
  </si>
  <si>
    <t>Direcția Generală Achiziții Publice</t>
  </si>
  <si>
    <t>Direcția Generală Logistică</t>
  </si>
  <si>
    <t>Direcția Patrimoniu</t>
  </si>
  <si>
    <t>Direcția Juridic</t>
  </si>
  <si>
    <t>Direcția Managementul Resurselor Umane</t>
  </si>
  <si>
    <t>Direcția Transporturi</t>
  </si>
  <si>
    <t>Direcția Guvernanță Corporativă</t>
  </si>
  <si>
    <t>Serviciul Euro-2020</t>
  </si>
  <si>
    <t>Biroul Documente Secrete</t>
  </si>
  <si>
    <t>Direcția de Mediu</t>
  </si>
  <si>
    <t>Direcția de Integritate</t>
  </si>
  <si>
    <t>Direcția de Presă</t>
  </si>
  <si>
    <t>Direcția Monitorizare Recuperare debite / Creanțe</t>
  </si>
  <si>
    <t>Corpul de Control al Primarului General</t>
  </si>
  <si>
    <t>Direcția Generală Urbanism și Amenajarea Teritoriului</t>
  </si>
  <si>
    <t>Direcția Generală Situații de Urgență, Statistici și Strategii</t>
  </si>
  <si>
    <t>Direcția Auditul și Managementul Calității</t>
  </si>
  <si>
    <t>Direcția Relații Externe și Protocol</t>
  </si>
  <si>
    <t>Serviciul Sănătate și Securitate În Muncă</t>
  </si>
  <si>
    <t>Direcția auditul și Managementul Calității</t>
  </si>
  <si>
    <t>Direcția audit Public Intern</t>
  </si>
  <si>
    <t>Direcția Spațiu Locativ și au altă destinație</t>
  </si>
  <si>
    <t>Serviciul Sănătate și Securitate în Muncă</t>
  </si>
  <si>
    <t>Direcția Generală Management Proiecte cu Finanțare Externă</t>
  </si>
  <si>
    <t>Direcția Generală Administrație și Relații cu Cgmb</t>
  </si>
  <si>
    <t>Direcția Relația cu Ong, Sindicate și Patronate</t>
  </si>
  <si>
    <t>Direcția cultură, învățământ, Turism</t>
  </si>
  <si>
    <t>Primar General</t>
  </si>
  <si>
    <t>Viceprimar</t>
  </si>
  <si>
    <t>Director Executiv</t>
  </si>
  <si>
    <t>Șef Serviciu</t>
  </si>
  <si>
    <t>Director General</t>
  </si>
  <si>
    <t>Șef Birou</t>
  </si>
  <si>
    <t>Arhitect Șef (Director General)</t>
  </si>
  <si>
    <t>Director</t>
  </si>
  <si>
    <t>Director Executiv Adjunct</t>
  </si>
  <si>
    <t>Cabinet Primar General</t>
  </si>
  <si>
    <t>Secretar General</t>
  </si>
  <si>
    <t>Serviciul Control Instituțional</t>
  </si>
  <si>
    <t>Direcţia Generală Economică</t>
  </si>
  <si>
    <t>Serviciul Financiar</t>
  </si>
  <si>
    <t>Biroul Financiar Investiții</t>
  </si>
  <si>
    <t>Serviciul Contabilitate</t>
  </si>
  <si>
    <t>Serviciul Control Financiar Preventiv</t>
  </si>
  <si>
    <t>Direcţia Venituri</t>
  </si>
  <si>
    <t>Serviciul Elaborare Şi Execuţie Buget</t>
  </si>
  <si>
    <t>Serviciul Raportare Execuţie Buget</t>
  </si>
  <si>
    <t>Direcţia Generală Investiții</t>
  </si>
  <si>
    <t>Direcţia Planificare Investiţii</t>
  </si>
  <si>
    <t>Serviciul Planificare Lucrări</t>
  </si>
  <si>
    <t>Serviciul Documentații Tehnice-Contractare</t>
  </si>
  <si>
    <t>Serviciul Urmărire Lucrări</t>
  </si>
  <si>
    <t>Serviciul Mari Proiecte</t>
  </si>
  <si>
    <t>Direcţia Fonduri Nerambursabile</t>
  </si>
  <si>
    <t>Serviciul Proiecte Poim</t>
  </si>
  <si>
    <t>Serviciul Uip Faza 2 Glina</t>
  </si>
  <si>
    <t>Direcţia Urbanism</t>
  </si>
  <si>
    <t>Serviciul Proiecte Urbane</t>
  </si>
  <si>
    <t>Serviciul Publicitate Stradală</t>
  </si>
  <si>
    <t>Direcţia Administraţie Publică</t>
  </si>
  <si>
    <t>Serviciul Evidenţă Urmarire Acte Administrative</t>
  </si>
  <si>
    <t>Serviciul Arhivă Acte Administrative</t>
  </si>
  <si>
    <t>Biroul Pentru Aplicarea Legii Nr 544/2001</t>
  </si>
  <si>
    <t>Serviciul Asistare Comisii</t>
  </si>
  <si>
    <t>Serviciul Evidență Hotarâri Cgmb</t>
  </si>
  <si>
    <t>Serviciul Dispecerat Comunicare, Audienţe</t>
  </si>
  <si>
    <t>Direcţia Generală Servicii Publice</t>
  </si>
  <si>
    <t>Direcţia Servicii Publice</t>
  </si>
  <si>
    <t>Serviciul Iluminat Public</t>
  </si>
  <si>
    <t>Serviciul Termoenergetic</t>
  </si>
  <si>
    <t>Serviciul Management Avarii - Dispecerat</t>
  </si>
  <si>
    <t>Serviciul Autorizare Coordonare Lucrări Infrastructură</t>
  </si>
  <si>
    <t>Direcţia Generală Achiziţii Publice</t>
  </si>
  <si>
    <t>Direcţia Proceduri</t>
  </si>
  <si>
    <t>Serviciul Iniţiere Proceduri</t>
  </si>
  <si>
    <t>Serviciul Contractare Achiziţii</t>
  </si>
  <si>
    <t>Serviciul Integrare Multiculturală</t>
  </si>
  <si>
    <t>Direcţia Statistici Şi Strategii</t>
  </si>
  <si>
    <t>Serviciul Statistică</t>
  </si>
  <si>
    <t>Serviciul Strategie</t>
  </si>
  <si>
    <t>Direcţia Generală Logistică</t>
  </si>
  <si>
    <t>Direcţia Informatică</t>
  </si>
  <si>
    <t>Serviciul Planificare, Strategie, Proiecte</t>
  </si>
  <si>
    <t>Serviciul Administrare Infrastructură Informatică</t>
  </si>
  <si>
    <t>Direcţia Administrativă</t>
  </si>
  <si>
    <t>Serviciul Tehnico-Administrativ</t>
  </si>
  <si>
    <t>Direcţia Patrimoniu</t>
  </si>
  <si>
    <t>Serviciul Evidenţă Patrimoniu</t>
  </si>
  <si>
    <t>Serviciul Cadastru</t>
  </si>
  <si>
    <t>Serviciul Concesionări</t>
  </si>
  <si>
    <t>Biroul Exproprieri</t>
  </si>
  <si>
    <t>Serviciul Monitorizarea Calităţii Mediului</t>
  </si>
  <si>
    <t>Serviciul Monitorizare Spații Verzi</t>
  </si>
  <si>
    <t>Serviciul Ecologie Urbană</t>
  </si>
  <si>
    <t>Direcţia Juridic</t>
  </si>
  <si>
    <t>Biroul Cauze Comerciale</t>
  </si>
  <si>
    <t>Biroul Avizări Contracte</t>
  </si>
  <si>
    <t>Serviciul Legislație</t>
  </si>
  <si>
    <t>Direcţia Managementul Resurselor Umane</t>
  </si>
  <si>
    <t>Serviciul Evidenţă Personal</t>
  </si>
  <si>
    <t>Serviciul Organizare Instituţii Publice</t>
  </si>
  <si>
    <t>Direcţia Transporturi</t>
  </si>
  <si>
    <t>Serviciul Sistematizare Trafic</t>
  </si>
  <si>
    <t>Serviciul Autorizări Auto</t>
  </si>
  <si>
    <t>Serviciul Strategie Transport Urban</t>
  </si>
  <si>
    <t>Direcţia Audit Public Intern</t>
  </si>
  <si>
    <t>Serviciul Audit Public Intern, Urmărire Recomandări</t>
  </si>
  <si>
    <t>Direcţia Guvernanță Corporativă</t>
  </si>
  <si>
    <t>Serviciul Analiză, Sinteză, Monitorizare Presă</t>
  </si>
  <si>
    <t>Serviciul Comunicare Interinstituţională</t>
  </si>
  <si>
    <t>Serviciul Cultură</t>
  </si>
  <si>
    <t>Serviciul Învăţământ, Turism</t>
  </si>
  <si>
    <t>Serviciul Euro - 2020</t>
  </si>
  <si>
    <t>Direcţia Generală Management Proiecte cu Finanţare Externă</t>
  </si>
  <si>
    <t>Serviciul Relaţii cu Cetăţenii</t>
  </si>
  <si>
    <t>Serviciul Comunicarea cu Presa</t>
  </si>
  <si>
    <t>Direcţia cultură, Învăţământ, Turism</t>
  </si>
  <si>
    <t>Serviciul decontare Lucrări</t>
  </si>
  <si>
    <t>Serviciul de Urbanism</t>
  </si>
  <si>
    <t>Serviciul de Autorizare</t>
  </si>
  <si>
    <t>Serviciul Transparenţă decizională</t>
  </si>
  <si>
    <t>Serviciul Management deşeuri, Salubritate</t>
  </si>
  <si>
    <t>Direcţia Generală Situaţii de Urgenţă, Statistici Şi Strategii</t>
  </si>
  <si>
    <t>Direcţia de Mediu</t>
  </si>
  <si>
    <t>Direcţia de Integritate</t>
  </si>
  <si>
    <t>Serviciul Audit Public Intern Pentru Aparatul de Specialitate</t>
  </si>
  <si>
    <t>Serviciul de Reprezentare Internă</t>
  </si>
  <si>
    <t>Biroul de Redactare Monitor Oficial al Municipiului Bucureşti</t>
  </si>
  <si>
    <t>Serviciul alimentare cu Apă Şi Canal</t>
  </si>
  <si>
    <t>Serviciul Controlul Gestionării și Utilizării Fondurilor</t>
  </si>
  <si>
    <t>Direcţia Programare și Execuție Bugetară</t>
  </si>
  <si>
    <t>Biroul derulare și Raportare Fonduri Rambursabile</t>
  </si>
  <si>
    <t>Serviciul Monitorizare Servicii Integrate și Recepții Lucrări Infrastructură</t>
  </si>
  <si>
    <t>Serviciul Salarizare și Organizare</t>
  </si>
  <si>
    <t>Direcţia Auditul și Managementul Calității</t>
  </si>
  <si>
    <t>Direcția Spațiu Locativ și cu altă destinație</t>
  </si>
  <si>
    <t>Serviciul Monitorizare și Evidențiere debite / Creanțe, Urmărire Contracte</t>
  </si>
  <si>
    <t>Serviciul Recuperare și Executare Silită</t>
  </si>
  <si>
    <t>Serviciul Urmărire Venituri Şi încasare Taxe</t>
  </si>
  <si>
    <t>Direcţia înzestrare Materială și Situații de Urgență</t>
  </si>
  <si>
    <t>Direcţia Generală Urbanism și Amenajarea Teritoriului</t>
  </si>
  <si>
    <t>Direcţia Asistenţă Tehnică și Juridică</t>
  </si>
  <si>
    <t>Serviciul Asistenţă Juridică și Tehnică Legislativă</t>
  </si>
  <si>
    <t>Serviciul Parc Auto și Poştă</t>
  </si>
  <si>
    <t>Serviciul Avize și Acorduri</t>
  </si>
  <si>
    <t>Serviciul Evidenţă Analiză, Soluţionare și Gestiune Notificări Legea Nr 10/2001</t>
  </si>
  <si>
    <t>Biroul Analiză și Soluţionare Petiţii Legile Proprietăţii</t>
  </si>
  <si>
    <t>Serviciul Instanţe Civile și Contencios Administrativ</t>
  </si>
  <si>
    <t>Serviciul Analiză Spațiu Locativ  și cu altă destinaţie</t>
  </si>
  <si>
    <t>Direcţia Relaţii Externe și Protocol</t>
  </si>
  <si>
    <t>Direcţia Relaţia cu Ong, Sindicate și Patronate</t>
  </si>
  <si>
    <t>Serviciul Audit Public Intern Pentru Instituţii și Servicii Publice</t>
  </si>
  <si>
    <t>Secretar General al Municipiului Bucuresti</t>
  </si>
  <si>
    <t>Director de Cabinet</t>
  </si>
  <si>
    <t>GLOB STAR TRAde SRL</t>
  </si>
  <si>
    <t>Contract achizitie publica de produse - SURSE de ALIMENTARE NEINTRERUPTIBILE (UPS)</t>
  </si>
  <si>
    <t>depozitarul Central S.A.</t>
  </si>
  <si>
    <t>Asocierea EPC - CONSULTANȚĂ de MEDIU S.R.L. (Lider) - VLAAMSE INSTELLING VOOR TECHNOLOGISH ONdeRZOEK N.V. (asociat)</t>
  </si>
  <si>
    <t>S.C. dendrio Solutions SRL</t>
  </si>
  <si>
    <t>Direcția cultură, Învățământ, Turism</t>
  </si>
  <si>
    <t>Mean</t>
  </si>
  <si>
    <t>Standard Error</t>
  </si>
  <si>
    <t>Median</t>
  </si>
  <si>
    <t>Mode</t>
  </si>
  <si>
    <t>Standard Deviation</t>
  </si>
  <si>
    <t>Sample Variance</t>
  </si>
  <si>
    <t>Kurtosis</t>
  </si>
  <si>
    <t>Skewness</t>
  </si>
  <si>
    <t>Range</t>
  </si>
  <si>
    <t>Minimum</t>
  </si>
  <si>
    <t>Maximum</t>
  </si>
  <si>
    <t>Sum</t>
  </si>
  <si>
    <t>Count</t>
  </si>
  <si>
    <t>Valoare_contract(lei)</t>
  </si>
  <si>
    <t>Valoare_achiziție(lei)</t>
  </si>
  <si>
    <t>Q1</t>
  </si>
  <si>
    <t>Q3</t>
  </si>
  <si>
    <t>IQR</t>
  </si>
  <si>
    <t>Lim.sup.</t>
  </si>
  <si>
    <t>Salariu</t>
  </si>
  <si>
    <t>Sum of Valoare(lei)</t>
  </si>
  <si>
    <t>Column Labels</t>
  </si>
  <si>
    <t>Grand Total</t>
  </si>
  <si>
    <t>Row Labels</t>
  </si>
  <si>
    <t>(All)</t>
  </si>
  <si>
    <t>Valoare contracte(lei)</t>
  </si>
  <si>
    <t>Valoare achiziții(lei)</t>
  </si>
  <si>
    <t>Count of ID_contract</t>
  </si>
  <si>
    <t>Jan</t>
  </si>
  <si>
    <t>Feb</t>
  </si>
  <si>
    <t>Mar</t>
  </si>
  <si>
    <t>Apr</t>
  </si>
  <si>
    <t>May</t>
  </si>
  <si>
    <t>Jun</t>
  </si>
  <si>
    <t>Aug</t>
  </si>
  <si>
    <t>Sep</t>
  </si>
  <si>
    <t>Depozitarul Central S.A.</t>
  </si>
  <si>
    <t>Count of ID_achiziție</t>
  </si>
  <si>
    <t>Total procent</t>
  </si>
  <si>
    <t>Total Valoare(lei)</t>
  </si>
  <si>
    <t>Total achiziții</t>
  </si>
  <si>
    <t>Total contracte</t>
  </si>
  <si>
    <t>Total valoare(lei)</t>
  </si>
  <si>
    <t>Procent</t>
  </si>
  <si>
    <t>㜸〱戵ㄸ㕢㙣ㅢ㔹㜵挶慦㡣㥤愴㜱㤲扥ㅢ挰㡢㤲㉥㙤ㄲ攳㘷ㅣ户㉡挵戱搳挴㙤㥤㤷搳㤶ㅦ㜶㜲㘷收㍡㥥㜴㍣㤳㥤ㄹ㠷㠴㕤㘹㉢扥昶ぢ愱㐵㐲挰㐲㡢㤰昸㐱〲搴㑤㤱㜶㔹〹㠴㠴㔶㉤㙡〹㉣㤵㘰ㄱ㡢昸〰昱㔸㈴㜶挵㔳攲愳㥣㌳昶搸㥥挴昵㉡散㜲ㄳ㥦戹昷摣昳扥昷㥥㝢㘶ㄸ㤶㘱㤸㐷搰昰㠹捤㠳㥤愱攲㤶㘱搲㑡㌸慢㈹ちㄵ㑤㔹㔳㡤㜰㐶搷挹搶㘵搹㌰摤㐰攰攳㘵㤸㌷扣扣㈱㝦㥡㜲晣〶搵つ㈰昲㌲っ挷昹㕤㌰㡦㐲昰ㄷ戴〷㝥攴敡昱〰㔸捥㑥捤ぢ㙢㈰戵㘸㙡㍡ㅤぢ㕤慤昱㥥㡢㐶挳搱㜰㌲㤲㡡㠵㈳㘳愱㙣㔵㌱慢㍡㍤愷搲慡愹ㄳ㘵㉣戴㔰ㄵㄴ㔹扣㐴户㤶戵敢㔴㍤㐷㠵㐸㕣㈰㠹挹㘸㈲㤹㉣愵搳㤳㍤愰㥡㤹换㑥㉤攸戴㘴扣㑦㌲扤㘸㜲㌲㐷㐵ㄹ㝤愳㔴㤷搵搵㜰㜶ち晥㕢散て㠳㐶㐹ㄶ挱㤵昰㝣ㄱ晢挵㌲愵㘶㌷㜰㜶昳㔶搷戲攸〰㍦扤㈹㔲㈵㑢ㄵ㘵〹っㅣ攰㈱戰搵㡡㍡慦换㔴㌵〹挶搷捦㤷㠹㤱㈳㈶㌵扡戱㌷㑢㠹〴㜱ㄹ攴慤㈰㐹㌵昲㈲㤸㐰㡤㘰ㅤ户愴㝤慡㠶㜰ㄲ㑤㙦㠰挸㔶愲ㅡ愲户㜲挵愰㑢㐴㕤愵㜳愴㐲扤㤵㤹慡㉣㜹㜰㌹摣㉥㤷㡢㜱㡦户㜳搳㌲扤改㘰搳ㅤっ㜶戴ㅤ㐷㙢㘰戲㔳愹戰挳㙢搴挶戲㙣扢扤㌵㑢㡣戲㐹〴㠵戲摤昵㥤㘷搹〷っ㝥ㅦ㠲慥ㅡ慢㥦㠳㘷㈰㄰㘰㍣晦㠲ㅤ摢㑡㡡〱㜷昱挴挵ぢ㉥㕥㜴昱㤲㡢愷㉥扥攴攲㔷㕤㝣搹挵换㉥㝥捤挵㕦〷ㅡ扢㜱㕤㕤攰户搵㘶㥥㜸㙢㈷昳敡敦㉦扥㥡㝤㈷昲敤㙦慣扣搰ㄳ〰愲㠵散搴㉣㔵搶㘱〹摥慦捤㠴㝥散㉦捡㘱攰ㄸ攰㤷攸慡㑥つ摣㠱〵㙡㤶㌵〹昶挷〲散〳㑤㕡摥㕡愷㍤㝣㤱ㄲ㐳㔳㠹㈲㥢㕢〷昸ㅡ㐵戱㤰挹㔴㑤慤扦㌹慣㌱ㄸ㌶㐱捥㐹〰挳㕤〴挵改㈲㑡攸戳㈵挰㔰㔹㉦㤳〶扦㜳㍡户㜷㝡㡡㥡㈴㔸攷捥㉤捦ㄵ昹㔶㠳㙡〸ㄴ攸㈰㐱ㅥ㕢愳㐵戲㔰㤶㝢㙤ぢ㉣㡦㙣晤挵㡣挳㥣㘲㘶㠶㔴㉡つ敢㘶慦㔹挴戶㈸ㅣ戶ㅡて攳㔶㑤㌰戴戸ㅢ㥡ち㘸㙡㐳㔳挱挱㕢㉣散搲㘴ㄱ㌷㌵㌹愹㘷慦ㄵ㥣㥡㙡摣㌶㜹㙥㌹㘳㠵愵ㄹ〴ㄸ愳愵慤〴捥㐰㘶㜸㠷㝥㤴〰㐱㙡搲ㄷ㜶〹㠴戱㔳㘰㠱㜷ち㉣散ㄶ㔸愸〹挴ㄸ㔴㈰㉦㠹㤹愵㝣㈱㜳〸ㄳ〱搵愹㉡㔲㘳㜴㕥捤㤶㌱㡤㐸ㅦ㙥挵㤶愶㌷㑤慡㑡㔴㕡搰㌵㌸㌵收搶㌲㥥收挳づ㤲っ㕣㈴ㅢㄴ㈶㡥㌹搰ㄷ㌴戱㙡㘴㌵搵搴㌵挵㌹㤳㤱㌶〸攸㤴ち㥡㐴ㄹ㉢㔹搹挷户挳搳敤㘶㔹㠶㍤摤㉥㍢搵㑦㜴戸㜹㝥愶搵㙡〵㡦晢㘸㈷昲㤶㈳㠶㘷づ改㔹づ晥㝣慣て晦昷㍥㙡㘸ㅦ㍢㔸捦㘵㔶〶㥥㈵慡愴㔰扤㕤昶㙢摣慣㉣㈶㔶挶晢て㐸㙥晢㜰〰敦搹慥つ愲㔴㈹捦㌳ㅣ㥡攷㐷㈹㝦〷㈹晢昱㙢慦ㄸ㤰〲〹ㅢ㠱㜵㡢㝦昹㑢搸㕥㌹捦摡ㅤ晢戹〷昱搸㠹晦〷愵慤捣㝥㍥㔶㐷㠳㈰攰敦〵愷攰ㅡ昱攲扤戲晦㡢っ愳攱户㙥㔰愸㐷っ㙦攵㠲愶ㅢ㙥㜷扢㤵㙤摣㙢ㅤ㈷昱㘲昴ㅦ㐰搰〷挰㠳㤷㕣㐷㝡戴㍡㜰㔹㈳搲〵㠲㠵㐷㔷扤㠲攲戲㕡㘵㥤攸㔴て愲摡㉣ㅣㅡ㌸㡣ㅢ㌲搴ㄱㅣ㈲㡡㔰愹㜹搰㘰摦㔵摣㉢〶㕣晤㙥挶敢敤收摡改捡摢戲㠶摢㔴㠲昹㍤昲晦戲㌸㜹ㅥ扤〸〴搰㌶㝦㄰㐱㍦〰ㄶ〳㡤㍢挸㍦㔰敦㔸摢〹㝤㐵㉦㤱つㄱ㠱〰㤶㕡晥㐱〴〷〱戰ㄸ㠷㌶〴㠷㤰攰㌰㠰㈰㙡㐰㠵ㅣ㠷㥣ㅣ㠷㑢挲㜱㈸㡢㐳㍥㈶㠸摡慤戸ㅥ㠱㡥晦㈸㠲㘳〸㡥〳〸愲㌱搶攴〹攸昴扡㠳愸ㄸ㜹㝤㐳〰㐶戲㔳搹㈵㍥ㄲ㡢㑢㤱搲㘴㉣㈹㑤㐰㡤㔹㑡㤳搸㐴㍣ㄱ㑤㑥〸㠹戴㈰㐵攳㈴㘸搹〹攴晥て〰〸愲㘵㈸挱晦㐱ㅣ愱㠹搶〸攷扣㘸挱挹捥〹〶敢扡㍣ㄴ搴㈸愶㡦㥦戹㤲捦挱扤㉦㙡㔰㔶㔳挹㙢㡤愱攰㠶昴扡改攵㔵㈸摦扡㜸㔵㠳㕡㤱昴㔸挸㜵㑣扣慡挹昱㜴㔳㔴慡ㄲ昵昰ち㔹㍤挰㑢摡㥣㘶挲搶愴㈲㌱㑣㐷愱搰捤攷つ㍢愹昵㌵㉡㠸㕡㔶㍣挰㕦〶昲〵㑡慥攷㔱摦㤱挶㜴㠱愸㔵愲捣㠳㐹㍡㙣愹㝥㍥㈳慤㔵㤱㔰ㄷ㐱户慣搰㐱㈷挶摡㘳〷敢㌸摢ちぢ搹㔳㐷㉥㘹㔵㔵戲攵㔸〳㙢㝡挰㥥愶㠶愹㐳㘱㕤㤰搵㍤㈸戲〹攱挵〰搷㤶ㄱ搷ㄲ㤷ㄳ㜲㌲ぢ扦晤㈴扤㕡㌲攷搸㐸愷昵搹敤慡㝤ぢ昸㝣ㅤ㔵搵搸㉣捦㙣づ捥攷㐳㡤㡣㉦〴㈰㐴㠴㜸㈲㐹挴愸㤴㑥㠹〹㤱㤶㐸㍣㐵㘹㌴㐵愳改㜴㈴㤵㑡挶㉣捡㈷㄰㕡㔹ㄸ㥦扦㠱愴㡥㠹ㅤ㤱捤收㝤ㄳ㔰晢㜶〱〳攸扣㌷㥡ㄲ㝦㝢摥敥㝢㝦晤㙥昷挸㉥㍦㍢㠹㐵愱㙦搷㡤㝦晢㌹ㄶ㡦㈵㥥づ挶㌷〲㈰㤴㡣挵愸㤸㠸搱㔲㘴㈲㤵㈰㈴㥡ㄶ㔲㄰ㄹ㤱㈶攳搱㔴ㄴづ㈲㑡昶㥤〴搰㜷㤵慡戲㔹㌵㘵摥搴㑣愲㔰㐰㔹㡤㝤㘳㜷㜸㘰晣㠸㘱㝦〹㄰㐳㘴搳㌱㑣搳㍦昶ㄷ㌰㠱㍥摡㤳户摥昹收搹㤱慦㝥攷㔱晤昹ㅣ㡢㜹愳㘶攵㘹攸㠵〴㤲㡥〹ㄲ㥤ㄴ㤲㌴㥥㠸㑣㑣〸㤳㐲㉣㤲㉥搱㔲㐲㠸㑥愶㔳㘹㑣㐵扥㔱〰晤搹㌲㠵户㔸㤹㉡つ㍢搱〳㘸散㐳搰攷㔸㐶ㄸ㠳㥤㍦〷昸㔸㍢㕦㠷挹㔶㍢㙢愲㕡愲㠹愹慤㘶攷㐷愱ㄷㄲ愴㜸㑣㡣㑥挴㈶搲改㠹㐴㈹㈹㄰㜱㈲ㄶㄵ挴㘴㘴戲㤴ㄲ㈶攳㘹㑣㥣扥〸㠰㐰戱㉡挰㑢攳摤ㄷ㘵㤹戱つ摣〱㘵㙤っ晣㐹㈷〳ㅦ扣㡢㠱㕥捣戶㘷摢ㅤ㌴慣〷つ㝣搱㙣㔴㤹扢换挹㘹㈸て户㌰戲㙥戸挱扣㔶愲昰戸捥晣㙦戲昰㌰㘲愱㘵晤敥㠳搱敦㐱㡥㜳戳愳挴㍣晣晣㐹ㄴ㡦挹扦敤愱散昴㤶㡣慦㠹㠷㉡㜹㘳〹㘳㘱㉣㙢㤹挶㍢㝢扦攵㌵攰㐷敤搲㘳愴㠹挹〸〶㝣㔱㌰愹捤㌶慦㌷昸㝡㥢㔴㤰㠷て㌵㐷㔸㜳搳㑤ㄳ㉦㤲ㄳ㑤㙣㕥㌵愰㝥愷㤲㉤搱㠰攴攳㜱戹搹㡦戵ぢ㜶慢㈷戰㝣㝢㍦㠴㡣摡㥦㍣㌰㍦㥦㘸㔳㑢㑣挹愶㔵晥㕡昹摢㡦昷慦㉦〵愰晢摣㜰㘶㌸㝡㘶㌸㌷ㅣ㡢㝡敦挲ㅡ扤㐷昵捥㜵㐲㘵搸〲晥㌴㐰ㄶ敦㙣搴㠱愸㍥㕣扡㍦挳捦戵挹㡡㉢搲捡捡扦晢㍣愱攳㥥捤㉦摥挸摤搸晥晣捣摡㕣㘶㙤昱昶㘷愷㡥㝥敥晥晤㥤敤㘴攲㘱晣㘱ㅣ扥㔹扤ㅥ晦改攲㝡昸挱愹㔳攳ㄷ扦晢攰搲昸昸愹㡢昷㝦戶挸㝤愴昰攳㝢㤷晦㌹昷慤㥥㝢㍢㜳て戶ぢ㠵㔸㘴敥㘲攲㜶〴捡㠸挲昶㥤㍢㉢散戱ㅦ摣㠸扥晣搲换挳挹㙢㍢改昳㑦㍥㤹㝣挵㔳㕥扢㝤昳㤹戵愷搶ㄶ㑢㉦摤㥣㉦㍤㥤晦っ㌱敦㕣㕡搳㑦摥晤晥昲搷捡㑦㝤敦收昶㘰㌰昳收搷晦昰愱愱扦ㅥ晤摤㥦摥晡攳㡢户㕥〸摣ㄹっ㘷㐶㘶㕥㝢㉤收晥攴扤挳户晣愶ㄸ扤晥散搳愵㉢愷㘷㥥㍤昶愳晦㡣昵昴晣㉡㜷㜶晣捣攱㠳捦てつ㝤㈵昴户㡦摦㌸昲晣ㅢ㍦ㅣ晡㐴㘴扢㍣㔰㌹㝥㜷㑣㘵扥㜰昳㤹㕥て㐶愱搳攲㘰慡攸慡昰〴扦〰㜲ㄵ㕥愱敡慡㔹㙥㝣昵㠳㤲㡦㠳捦㝥㘷㠰挸づ㙣ㅦづ㌰收㔶㌱搶晤㕦挷晣㑦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</si>
</sst>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418]d\ mmmm\ yyyy;@"/>
  </numFmts>
  <fonts count="6" x14ac:knownFonts="1">
    <font>
      <sz val="11"/>
      <color theme="1"/>
      <name val="Aptos Narrow"/>
      <family val="2"/>
      <scheme val="minor"/>
    </font>
    <font>
      <b/>
      <sz val="11"/>
      <color theme="1"/>
      <name val="Aptos Narrow"/>
      <family val="2"/>
      <scheme val="minor"/>
    </font>
    <font>
      <sz val="10"/>
      <color theme="1"/>
      <name val="Arial"/>
      <family val="2"/>
    </font>
    <font>
      <sz val="8"/>
      <name val="Aptos Narrow"/>
      <family val="2"/>
      <scheme val="minor"/>
    </font>
    <font>
      <b/>
      <sz val="10"/>
      <color theme="1"/>
      <name val="Aptos Narrow"/>
      <family val="2"/>
      <scheme val="minor"/>
    </font>
    <font>
      <i/>
      <sz val="11"/>
      <color theme="1"/>
      <name val="Aptos Narrow"/>
      <family val="2"/>
      <scheme val="minor"/>
    </font>
  </fonts>
  <fills count="2">
    <fill>
      <patternFill patternType="none"/>
    </fill>
    <fill>
      <patternFill patternType="gray125"/>
    </fill>
  </fills>
  <borders count="4">
    <border>
      <left/>
      <right/>
      <top/>
      <bottom/>
      <diagonal/>
    </border>
    <border>
      <left style="medium">
        <color rgb="FFCCCCCC"/>
      </left>
      <right style="medium">
        <color rgb="FFCCCCCC"/>
      </right>
      <top style="medium">
        <color rgb="FFCCCCCC"/>
      </top>
      <bottom style="medium">
        <color rgb="FFCCCCCC"/>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30">
    <xf numFmtId="0" fontId="0" fillId="0" borderId="0" xfId="0"/>
    <xf numFmtId="0" fontId="1" fillId="0" borderId="0" xfId="0" applyFont="1" applyAlignment="1">
      <alignment horizontal="center"/>
    </xf>
    <xf numFmtId="0" fontId="0" fillId="0" borderId="0" xfId="0" applyAlignment="1">
      <alignment horizontal="center"/>
    </xf>
    <xf numFmtId="2" fontId="0" fillId="0" borderId="0" xfId="0" applyNumberFormat="1" applyAlignment="1">
      <alignment horizontal="center"/>
    </xf>
    <xf numFmtId="0" fontId="4" fillId="0" borderId="0" xfId="0" applyFont="1" applyAlignment="1">
      <alignment horizontal="center"/>
    </xf>
    <xf numFmtId="0" fontId="1" fillId="0" borderId="0" xfId="0" applyFont="1"/>
    <xf numFmtId="0" fontId="0" fillId="0" borderId="0" xfId="0" quotePrefix="1"/>
    <xf numFmtId="0" fontId="2" fillId="0" borderId="1" xfId="0" applyFont="1" applyBorder="1" applyAlignment="1">
      <alignment horizontal="center" wrapText="1"/>
    </xf>
    <xf numFmtId="0" fontId="0" fillId="0" borderId="1" xfId="0" applyBorder="1" applyAlignment="1">
      <alignment horizontal="center"/>
    </xf>
    <xf numFmtId="2" fontId="0" fillId="0" borderId="1" xfId="0" applyNumberFormat="1" applyBorder="1" applyAlignment="1">
      <alignment horizontal="center"/>
    </xf>
    <xf numFmtId="164" fontId="0" fillId="0" borderId="0" xfId="0" applyNumberFormat="1" applyAlignment="1">
      <alignment horizontal="center"/>
    </xf>
    <xf numFmtId="2" fontId="1" fillId="0" borderId="0" xfId="0" applyNumberFormat="1" applyFont="1" applyAlignment="1">
      <alignment horizontal="center"/>
    </xf>
    <xf numFmtId="2" fontId="0" fillId="0" borderId="0" xfId="0" applyNumberFormat="1" applyAlignment="1">
      <alignment horizontal="center" vertical="center" wrapText="1"/>
    </xf>
    <xf numFmtId="0" fontId="0" fillId="0" borderId="0" xfId="0" applyAlignment="1">
      <alignment horizontal="center" vertical="center"/>
    </xf>
    <xf numFmtId="1" fontId="1" fillId="0" borderId="0" xfId="0" applyNumberFormat="1" applyFont="1" applyAlignment="1">
      <alignment horizontal="center"/>
    </xf>
    <xf numFmtId="1" fontId="0" fillId="0" borderId="0" xfId="0" applyNumberFormat="1" applyAlignment="1">
      <alignment horizontal="center"/>
    </xf>
    <xf numFmtId="165" fontId="1" fillId="0" borderId="0" xfId="0" applyNumberFormat="1" applyFont="1" applyAlignment="1">
      <alignment horizontal="center"/>
    </xf>
    <xf numFmtId="165" fontId="0" fillId="0" borderId="0" xfId="0" applyNumberFormat="1" applyAlignment="1">
      <alignment horizontal="center"/>
    </xf>
    <xf numFmtId="0" fontId="0" fillId="0" borderId="2" xfId="0" applyBorder="1"/>
    <xf numFmtId="0" fontId="5" fillId="0" borderId="3" xfId="0" applyFont="1" applyBorder="1" applyAlignment="1">
      <alignment horizontal="centerContinuous"/>
    </xf>
    <xf numFmtId="2" fontId="0" fillId="0" borderId="0" xfId="0" applyNumberFormat="1"/>
    <xf numFmtId="2" fontId="0" fillId="0" borderId="0" xfId="0" applyNumberFormat="1" applyAlignment="1">
      <alignment horizontal="center" vertical="center"/>
    </xf>
    <xf numFmtId="0" fontId="0" fillId="0" borderId="0" xfId="0" pivotButton="1"/>
    <xf numFmtId="0" fontId="0" fillId="0" borderId="0" xfId="0" applyAlignment="1">
      <alignment horizontal="left"/>
    </xf>
    <xf numFmtId="2" fontId="0" fillId="0" borderId="2" xfId="0" applyNumberFormat="1" applyBorder="1"/>
    <xf numFmtId="1" fontId="0" fillId="0" borderId="0" xfId="0" applyNumberFormat="1"/>
    <xf numFmtId="1" fontId="0" fillId="0" borderId="2" xfId="0" applyNumberFormat="1" applyBorder="1"/>
    <xf numFmtId="0" fontId="0" fillId="0" borderId="0" xfId="0" applyAlignment="1">
      <alignment horizontal="left" indent="1"/>
    </xf>
    <xf numFmtId="10" fontId="0" fillId="0" borderId="0" xfId="0" applyNumberFormat="1"/>
    <xf numFmtId="0" fontId="0" fillId="0" borderId="0" xfId="0" applyNumberFormat="1"/>
  </cellXfs>
  <cellStyles count="1">
    <cellStyle name="Normal" xfId="0" builtinId="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[lucru_excel.xlsx]PivotChart2!PivotTable28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pieChart>
        <c:varyColors val="1"/>
        <c:ser>
          <c:idx val="0"/>
          <c:order val="0"/>
          <c:tx>
            <c:strRef>
              <c:f>PivotChart2!$B$4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BF16-4CB2-9277-91AA89D5B760}"/>
              </c:ext>
            </c:extLst>
          </c:dPt>
          <c:dPt>
            <c:idx val="1"/>
            <c:bubble3D val="0"/>
            <c:spPr>
              <a:solidFill>
                <a:schemeClr val="accent2"/>
              </a:solidFill>
              <a:ln>
                <a:noFill/>
              </a:ln>
              <a:effectLst/>
            </c:spPr>
            <c:extLst>
              <c:ext xmlns:c16="http://schemas.microsoft.com/office/drawing/2014/chart" uri="{C3380CC4-5D6E-409C-BE32-E72D297353CC}">
                <c16:uniqueId val="{00000003-BF16-4CB2-9277-91AA89D5B760}"/>
              </c:ext>
            </c:extLst>
          </c:dPt>
          <c:dPt>
            <c:idx val="2"/>
            <c:bubble3D val="0"/>
            <c:spPr>
              <a:solidFill>
                <a:schemeClr val="accent3"/>
              </a:solidFill>
              <a:ln>
                <a:noFill/>
              </a:ln>
              <a:effectLst/>
            </c:spPr>
            <c:extLst>
              <c:ext xmlns:c16="http://schemas.microsoft.com/office/drawing/2014/chart" uri="{C3380CC4-5D6E-409C-BE32-E72D297353CC}">
                <c16:uniqueId val="{00000005-BF16-4CB2-9277-91AA89D5B7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PivotChart2!$A$5:$A$8</c:f>
              <c:strCache>
                <c:ptCount val="3"/>
                <c:pt idx="0">
                  <c:v>Alte surse</c:v>
                </c:pt>
                <c:pt idx="1">
                  <c:v>Cheltuieli curente</c:v>
                </c:pt>
                <c:pt idx="2">
                  <c:v>Investiții</c:v>
                </c:pt>
              </c:strCache>
            </c:strRef>
          </c:cat>
          <c:val>
            <c:numRef>
              <c:f>PivotChart2!$B$5:$B$8</c:f>
              <c:numCache>
                <c:formatCode>0.00%</c:formatCode>
                <c:ptCount val="3"/>
                <c:pt idx="0">
                  <c:v>7.820941167325117E-3</c:v>
                </c:pt>
                <c:pt idx="1">
                  <c:v>0.8143953070918124</c:v>
                </c:pt>
                <c:pt idx="2">
                  <c:v>0.17778375174086256</c:v>
                </c:pt>
              </c:numCache>
            </c:numRef>
          </c:val>
          <c:extLst>
            <c:ext xmlns:c16="http://schemas.microsoft.com/office/drawing/2014/chart" uri="{C3380CC4-5D6E-409C-BE32-E72D297353CC}">
              <c16:uniqueId val="{00000000-5642-499E-94A3-8D7B79870B7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[lucru_excel.xlsx]PivotChart1!PivotTable29</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PivotChart1!$B$3:$B$4</c:f>
              <c:strCache>
                <c:ptCount val="1"/>
                <c:pt idx="0">
                  <c:v>Alte surse</c:v>
                </c:pt>
              </c:strCache>
            </c:strRef>
          </c:tx>
          <c:spPr>
            <a:solidFill>
              <a:schemeClr val="accent1"/>
            </a:solidFill>
            <a:ln>
              <a:noFill/>
            </a:ln>
            <a:effectLst/>
          </c:spPr>
          <c:invertIfNegative val="0"/>
          <c:cat>
            <c:strRef>
              <c:f>PivotChart1!$A$5:$A$25</c:f>
              <c:strCache>
                <c:ptCount val="20"/>
                <c:pt idx="0">
                  <c:v>Direcția Relația cu Ong, Sindicate și Patronate</c:v>
                </c:pt>
                <c:pt idx="1">
                  <c:v>Direcția Patrimoniu</c:v>
                </c:pt>
                <c:pt idx="2">
                  <c:v>Direcția Juridic</c:v>
                </c:pt>
                <c:pt idx="3">
                  <c:v>Direcția Auditul și Managementul Calității</c:v>
                </c:pt>
                <c:pt idx="4">
                  <c:v>Serviciul Sănătate și Securitate în Muncă</c:v>
                </c:pt>
                <c:pt idx="5">
                  <c:v>Direcția Managementul Resurselor Umane</c:v>
                </c:pt>
                <c:pt idx="6">
                  <c:v>Direcția Guvernanță Corporativă</c:v>
                </c:pt>
                <c:pt idx="7">
                  <c:v>Direcția de Presă</c:v>
                </c:pt>
                <c:pt idx="8">
                  <c:v>Direcția Generală Economică</c:v>
                </c:pt>
                <c:pt idx="9">
                  <c:v>Direcția Generală Administrație și Relații cu Cgmb</c:v>
                </c:pt>
                <c:pt idx="10">
                  <c:v>Direcția de Mediu</c:v>
                </c:pt>
                <c:pt idx="11">
                  <c:v>Direcția Transporturi</c:v>
                </c:pt>
                <c:pt idx="12">
                  <c:v>Direcția Generală Urbanism și Amenajarea Teritoriului</c:v>
                </c:pt>
                <c:pt idx="13">
                  <c:v>Direcția Generală Management Proiecte cu Finanțare Externă</c:v>
                </c:pt>
                <c:pt idx="14">
                  <c:v>Direcția cultură, Învățământ, Turism</c:v>
                </c:pt>
                <c:pt idx="15">
                  <c:v>Direcția Relații Externe și Protocol</c:v>
                </c:pt>
                <c:pt idx="16">
                  <c:v>Direcția Generală Investiții</c:v>
                </c:pt>
                <c:pt idx="17">
                  <c:v>Direcția Generală Situații de Urgență, Statistici și Strategii</c:v>
                </c:pt>
                <c:pt idx="18">
                  <c:v>Direcția Generală Servicii Publice</c:v>
                </c:pt>
                <c:pt idx="19">
                  <c:v>Direcția Generală Logistică</c:v>
                </c:pt>
              </c:strCache>
            </c:strRef>
          </c:cat>
          <c:val>
            <c:numRef>
              <c:f>PivotChart1!$B$5:$B$25</c:f>
              <c:numCache>
                <c:formatCode>0.00%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1.3390824627082347E-3</c:v>
                </c:pt>
                <c:pt idx="14">
                  <c:v>6.4818587046168805E-3</c:v>
                </c:pt>
                <c:pt idx="15">
                  <c:v>0</c:v>
                </c:pt>
                <c:pt idx="16">
                  <c:v>0</c:v>
                </c:pt>
                <c:pt idx="17">
                  <c:v>0</c:v>
                </c:pt>
                <c:pt idx="18">
                  <c:v>0</c:v>
                </c:pt>
                <c:pt idx="19">
                  <c:v>0</c:v>
                </c:pt>
              </c:numCache>
            </c:numRef>
          </c:val>
          <c:extLst>
            <c:ext xmlns:c16="http://schemas.microsoft.com/office/drawing/2014/chart" uri="{C3380CC4-5D6E-409C-BE32-E72D297353CC}">
              <c16:uniqueId val="{00000000-AB8C-4CAB-8B71-894183554C7F}"/>
            </c:ext>
          </c:extLst>
        </c:ser>
        <c:ser>
          <c:idx val="1"/>
          <c:order val="1"/>
          <c:tx>
            <c:strRef>
              <c:f>PivotChart1!$C$3:$C$4</c:f>
              <c:strCache>
                <c:ptCount val="1"/>
                <c:pt idx="0">
                  <c:v>Cheltuieli curente</c:v>
                </c:pt>
              </c:strCache>
            </c:strRef>
          </c:tx>
          <c:spPr>
            <a:solidFill>
              <a:schemeClr val="accent2"/>
            </a:solidFill>
            <a:ln>
              <a:noFill/>
            </a:ln>
            <a:effectLst/>
          </c:spPr>
          <c:invertIfNegative val="0"/>
          <c:cat>
            <c:strRef>
              <c:f>PivotChart1!$A$5:$A$25</c:f>
              <c:strCache>
                <c:ptCount val="20"/>
                <c:pt idx="0">
                  <c:v>Direcția Relația cu Ong, Sindicate și Patronate</c:v>
                </c:pt>
                <c:pt idx="1">
                  <c:v>Direcția Patrimoniu</c:v>
                </c:pt>
                <c:pt idx="2">
                  <c:v>Direcția Juridic</c:v>
                </c:pt>
                <c:pt idx="3">
                  <c:v>Direcția Auditul și Managementul Calității</c:v>
                </c:pt>
                <c:pt idx="4">
                  <c:v>Serviciul Sănătate și Securitate în Muncă</c:v>
                </c:pt>
                <c:pt idx="5">
                  <c:v>Direcția Managementul Resurselor Umane</c:v>
                </c:pt>
                <c:pt idx="6">
                  <c:v>Direcția Guvernanță Corporativă</c:v>
                </c:pt>
                <c:pt idx="7">
                  <c:v>Direcția de Presă</c:v>
                </c:pt>
                <c:pt idx="8">
                  <c:v>Direcția Generală Economică</c:v>
                </c:pt>
                <c:pt idx="9">
                  <c:v>Direcția Generală Administrație și Relații cu Cgmb</c:v>
                </c:pt>
                <c:pt idx="10">
                  <c:v>Direcția de Mediu</c:v>
                </c:pt>
                <c:pt idx="11">
                  <c:v>Direcția Transporturi</c:v>
                </c:pt>
                <c:pt idx="12">
                  <c:v>Direcția Generală Urbanism și Amenajarea Teritoriului</c:v>
                </c:pt>
                <c:pt idx="13">
                  <c:v>Direcția Generală Management Proiecte cu Finanțare Externă</c:v>
                </c:pt>
                <c:pt idx="14">
                  <c:v>Direcția cultură, Învățământ, Turism</c:v>
                </c:pt>
                <c:pt idx="15">
                  <c:v>Direcția Relații Externe și Protocol</c:v>
                </c:pt>
                <c:pt idx="16">
                  <c:v>Direcția Generală Investiții</c:v>
                </c:pt>
                <c:pt idx="17">
                  <c:v>Direcția Generală Situații de Urgență, Statistici și Strategii</c:v>
                </c:pt>
                <c:pt idx="18">
                  <c:v>Direcția Generală Servicii Publice</c:v>
                </c:pt>
                <c:pt idx="19">
                  <c:v>Direcția Generală Logistică</c:v>
                </c:pt>
              </c:strCache>
            </c:strRef>
          </c:cat>
          <c:val>
            <c:numRef>
              <c:f>PivotChart1!$C$5:$C$25</c:f>
              <c:numCache>
                <c:formatCode>0.00%</c:formatCode>
                <c:ptCount val="20"/>
                <c:pt idx="0">
                  <c:v>1.0133475291662416E-4</c:v>
                </c:pt>
                <c:pt idx="1">
                  <c:v>4.0468483953933491E-4</c:v>
                </c:pt>
                <c:pt idx="2">
                  <c:v>1.3135986489192022E-3</c:v>
                </c:pt>
                <c:pt idx="3">
                  <c:v>2.2068457301842597E-3</c:v>
                </c:pt>
                <c:pt idx="4">
                  <c:v>3.4528878771590459E-3</c:v>
                </c:pt>
                <c:pt idx="5">
                  <c:v>1.000485709480774E-2</c:v>
                </c:pt>
                <c:pt idx="6">
                  <c:v>1.148460533055074E-2</c:v>
                </c:pt>
                <c:pt idx="7">
                  <c:v>1.314461870888492E-2</c:v>
                </c:pt>
                <c:pt idx="8">
                  <c:v>1.5316560246397899E-2</c:v>
                </c:pt>
                <c:pt idx="9">
                  <c:v>2.0642264483016035E-3</c:v>
                </c:pt>
                <c:pt idx="10">
                  <c:v>1.9636548962000011E-2</c:v>
                </c:pt>
                <c:pt idx="11">
                  <c:v>3.0963396724524053E-2</c:v>
                </c:pt>
                <c:pt idx="12">
                  <c:v>0</c:v>
                </c:pt>
                <c:pt idx="13">
                  <c:v>1.1643223493349434E-2</c:v>
                </c:pt>
                <c:pt idx="14">
                  <c:v>4.504554955483759E-2</c:v>
                </c:pt>
                <c:pt idx="15">
                  <c:v>9.3445499740474558E-2</c:v>
                </c:pt>
                <c:pt idx="16">
                  <c:v>9.4659797462499543E-2</c:v>
                </c:pt>
                <c:pt idx="17">
                  <c:v>0.11249054273714425</c:v>
                </c:pt>
                <c:pt idx="18">
                  <c:v>5.7142967420804124E-2</c:v>
                </c:pt>
                <c:pt idx="19">
                  <c:v>0.28987356131851727</c:v>
                </c:pt>
              </c:numCache>
            </c:numRef>
          </c:val>
          <c:extLst>
            <c:ext xmlns:c16="http://schemas.microsoft.com/office/drawing/2014/chart" uri="{C3380CC4-5D6E-409C-BE32-E72D297353CC}">
              <c16:uniqueId val="{00000001-AB8C-4CAB-8B71-894183554C7F}"/>
            </c:ext>
          </c:extLst>
        </c:ser>
        <c:ser>
          <c:idx val="2"/>
          <c:order val="2"/>
          <c:tx>
            <c:strRef>
              <c:f>PivotChart1!$D$3:$D$4</c:f>
              <c:strCache>
                <c:ptCount val="1"/>
                <c:pt idx="0">
                  <c:v>Investiții</c:v>
                </c:pt>
              </c:strCache>
            </c:strRef>
          </c:tx>
          <c:spPr>
            <a:solidFill>
              <a:schemeClr val="accent3"/>
            </a:solidFill>
            <a:ln>
              <a:noFill/>
            </a:ln>
            <a:effectLst/>
          </c:spPr>
          <c:invertIfNegative val="0"/>
          <c:cat>
            <c:strRef>
              <c:f>PivotChart1!$A$5:$A$25</c:f>
              <c:strCache>
                <c:ptCount val="20"/>
                <c:pt idx="0">
                  <c:v>Direcția Relația cu Ong, Sindicate și Patronate</c:v>
                </c:pt>
                <c:pt idx="1">
                  <c:v>Direcția Patrimoniu</c:v>
                </c:pt>
                <c:pt idx="2">
                  <c:v>Direcția Juridic</c:v>
                </c:pt>
                <c:pt idx="3">
                  <c:v>Direcția Auditul și Managementul Calității</c:v>
                </c:pt>
                <c:pt idx="4">
                  <c:v>Serviciul Sănătate și Securitate în Muncă</c:v>
                </c:pt>
                <c:pt idx="5">
                  <c:v>Direcția Managementul Resurselor Umane</c:v>
                </c:pt>
                <c:pt idx="6">
                  <c:v>Direcția Guvernanță Corporativă</c:v>
                </c:pt>
                <c:pt idx="7">
                  <c:v>Direcția de Presă</c:v>
                </c:pt>
                <c:pt idx="8">
                  <c:v>Direcția Generală Economică</c:v>
                </c:pt>
                <c:pt idx="9">
                  <c:v>Direcția Generală Administrație și Relații cu Cgmb</c:v>
                </c:pt>
                <c:pt idx="10">
                  <c:v>Direcția de Mediu</c:v>
                </c:pt>
                <c:pt idx="11">
                  <c:v>Direcția Transporturi</c:v>
                </c:pt>
                <c:pt idx="12">
                  <c:v>Direcția Generală Urbanism și Amenajarea Teritoriului</c:v>
                </c:pt>
                <c:pt idx="13">
                  <c:v>Direcția Generală Management Proiecte cu Finanțare Externă</c:v>
                </c:pt>
                <c:pt idx="14">
                  <c:v>Direcția cultură, Învățământ, Turism</c:v>
                </c:pt>
                <c:pt idx="15">
                  <c:v>Direcția Relații Externe și Protocol</c:v>
                </c:pt>
                <c:pt idx="16">
                  <c:v>Direcția Generală Investiții</c:v>
                </c:pt>
                <c:pt idx="17">
                  <c:v>Direcția Generală Situații de Urgență, Statistici și Strategii</c:v>
                </c:pt>
                <c:pt idx="18">
                  <c:v>Direcția Generală Servicii Publice</c:v>
                </c:pt>
                <c:pt idx="19">
                  <c:v>Direcția Generală Logistică</c:v>
                </c:pt>
              </c:strCache>
            </c:strRef>
          </c:cat>
          <c:val>
            <c:numRef>
              <c:f>PivotChart1!$D$5:$D$25</c:f>
              <c:numCache>
                <c:formatCode>0.00%</c:formatCode>
                <c:ptCount val="20"/>
                <c:pt idx="0">
                  <c:v>0</c:v>
                </c:pt>
                <c:pt idx="1">
                  <c:v>0</c:v>
                </c:pt>
                <c:pt idx="2">
                  <c:v>0</c:v>
                </c:pt>
                <c:pt idx="3">
                  <c:v>0</c:v>
                </c:pt>
                <c:pt idx="4">
                  <c:v>0</c:v>
                </c:pt>
                <c:pt idx="5">
                  <c:v>0</c:v>
                </c:pt>
                <c:pt idx="6">
                  <c:v>0</c:v>
                </c:pt>
                <c:pt idx="7">
                  <c:v>0</c:v>
                </c:pt>
                <c:pt idx="8">
                  <c:v>0</c:v>
                </c:pt>
                <c:pt idx="9">
                  <c:v>1.3698957338728822E-2</c:v>
                </c:pt>
                <c:pt idx="10">
                  <c:v>3.79093310661091E-3</c:v>
                </c:pt>
                <c:pt idx="11">
                  <c:v>4.3536412364179276E-4</c:v>
                </c:pt>
                <c:pt idx="12">
                  <c:v>3.7675998414671084E-2</c:v>
                </c:pt>
                <c:pt idx="13">
                  <c:v>2.7718658686761547E-2</c:v>
                </c:pt>
                <c:pt idx="14">
                  <c:v>0</c:v>
                </c:pt>
                <c:pt idx="15">
                  <c:v>0</c:v>
                </c:pt>
                <c:pt idx="16">
                  <c:v>1.5232489932867068E-3</c:v>
                </c:pt>
                <c:pt idx="17">
                  <c:v>1.2947762815357889E-2</c:v>
                </c:pt>
                <c:pt idx="18">
                  <c:v>6.9859352970141383E-2</c:v>
                </c:pt>
                <c:pt idx="19">
                  <c:v>1.0133475291662418E-2</c:v>
                </c:pt>
              </c:numCache>
            </c:numRef>
          </c:val>
          <c:extLst>
            <c:ext xmlns:c16="http://schemas.microsoft.com/office/drawing/2014/chart" uri="{C3380CC4-5D6E-409C-BE32-E72D297353CC}">
              <c16:uniqueId val="{00000002-AB8C-4CAB-8B71-894183554C7F}"/>
            </c:ext>
          </c:extLst>
        </c:ser>
        <c:dLbls>
          <c:showLegendKey val="0"/>
          <c:showVal val="0"/>
          <c:showCatName val="0"/>
          <c:showSerName val="0"/>
          <c:showPercent val="0"/>
          <c:showBubbleSize val="0"/>
        </c:dLbls>
        <c:gapWidth val="150"/>
        <c:overlap val="100"/>
        <c:axId val="1359669231"/>
        <c:axId val="1359670191"/>
      </c:barChart>
      <c:catAx>
        <c:axId val="135966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670191"/>
        <c:crosses val="autoZero"/>
        <c:auto val="1"/>
        <c:lblAlgn val="ctr"/>
        <c:lblOffset val="100"/>
        <c:noMultiLvlLbl val="0"/>
      </c:catAx>
      <c:valAx>
        <c:axId val="13596701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669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[lucru_excel.xlsx]PivotChart3!PivotTable27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PivotChart3!$B$4</c:f>
              <c:strCache>
                <c:ptCount val="1"/>
                <c:pt idx="0">
                  <c:v>Total</c:v>
                </c:pt>
              </c:strCache>
            </c:strRef>
          </c:tx>
          <c:spPr>
            <a:solidFill>
              <a:schemeClr val="accent1"/>
            </a:solidFill>
            <a:ln>
              <a:noFill/>
            </a:ln>
            <a:effectLst/>
          </c:spPr>
          <c:invertIfNegative val="0"/>
          <c:cat>
            <c:strRef>
              <c:f>PivotChart3!$A$5:$A$15</c:f>
              <c:strCache>
                <c:ptCount val="10"/>
                <c:pt idx="0">
                  <c:v>Direcția Transporturi</c:v>
                </c:pt>
                <c:pt idx="1">
                  <c:v>Direcția Generală Investiții</c:v>
                </c:pt>
                <c:pt idx="2">
                  <c:v>Direcția de Mediu</c:v>
                </c:pt>
                <c:pt idx="3">
                  <c:v>Direcția cultură, Învățământ, Turism</c:v>
                </c:pt>
                <c:pt idx="4">
                  <c:v>Direcția Generală Servicii Publice</c:v>
                </c:pt>
                <c:pt idx="5">
                  <c:v>Direcția Generală Management Proiecte cu Finanțare Externă</c:v>
                </c:pt>
                <c:pt idx="6">
                  <c:v>Direcția Guvernanță Corporativă</c:v>
                </c:pt>
                <c:pt idx="7">
                  <c:v>Direcția Relații Externe și Protocol</c:v>
                </c:pt>
                <c:pt idx="8">
                  <c:v>Direcția Generală Situații de Urgență, Statistici și Strategii</c:v>
                </c:pt>
                <c:pt idx="9">
                  <c:v>Direcția Generală Logistică</c:v>
                </c:pt>
              </c:strCache>
            </c:strRef>
          </c:cat>
          <c:val>
            <c:numRef>
              <c:f>PivotChart3!$B$5:$B$15</c:f>
              <c:numCache>
                <c:formatCode>General</c:formatCode>
                <c:ptCount val="10"/>
                <c:pt idx="0">
                  <c:v>5</c:v>
                </c:pt>
                <c:pt idx="1">
                  <c:v>9</c:v>
                </c:pt>
                <c:pt idx="2">
                  <c:v>9</c:v>
                </c:pt>
                <c:pt idx="3">
                  <c:v>11</c:v>
                </c:pt>
                <c:pt idx="4">
                  <c:v>11</c:v>
                </c:pt>
                <c:pt idx="5">
                  <c:v>14</c:v>
                </c:pt>
                <c:pt idx="6">
                  <c:v>30</c:v>
                </c:pt>
                <c:pt idx="7">
                  <c:v>33</c:v>
                </c:pt>
                <c:pt idx="8">
                  <c:v>70</c:v>
                </c:pt>
                <c:pt idx="9">
                  <c:v>82</c:v>
                </c:pt>
              </c:numCache>
            </c:numRef>
          </c:val>
          <c:extLst>
            <c:ext xmlns:c16="http://schemas.microsoft.com/office/drawing/2014/chart" uri="{C3380CC4-5D6E-409C-BE32-E72D297353CC}">
              <c16:uniqueId val="{00000004-2D53-4F6E-A4B0-C978A102ED18}"/>
            </c:ext>
          </c:extLst>
        </c:ser>
        <c:dLbls>
          <c:showLegendKey val="0"/>
          <c:showVal val="0"/>
          <c:showCatName val="0"/>
          <c:showSerName val="0"/>
          <c:showPercent val="0"/>
          <c:showBubbleSize val="0"/>
        </c:dLbls>
        <c:gapWidth val="219"/>
        <c:axId val="371732159"/>
        <c:axId val="1448601999"/>
      </c:barChart>
      <c:catAx>
        <c:axId val="371732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8601999"/>
        <c:crosses val="autoZero"/>
        <c:auto val="1"/>
        <c:lblAlgn val="ctr"/>
        <c:lblOffset val="100"/>
        <c:noMultiLvlLbl val="0"/>
      </c:catAx>
      <c:valAx>
        <c:axId val="14486019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1732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[lucru_excel.xlsx]PivotChart4!PivotTable25</c:name>
    <c:fmtId val="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PivotChart4!$B$1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PivotChart4!$A$2:$A$10</c:f>
              <c:strCache>
                <c:ptCount val="8"/>
                <c:pt idx="0">
                  <c:v>Jan</c:v>
                </c:pt>
                <c:pt idx="1">
                  <c:v>Feb</c:v>
                </c:pt>
                <c:pt idx="2">
                  <c:v>Mar</c:v>
                </c:pt>
                <c:pt idx="3">
                  <c:v>Apr</c:v>
                </c:pt>
                <c:pt idx="4">
                  <c:v>May</c:v>
                </c:pt>
                <c:pt idx="5">
                  <c:v>Jun</c:v>
                </c:pt>
                <c:pt idx="6">
                  <c:v>Aug</c:v>
                </c:pt>
                <c:pt idx="7">
                  <c:v>Sep</c:v>
                </c:pt>
              </c:strCache>
            </c:strRef>
          </c:cat>
          <c:val>
            <c:numRef>
              <c:f>PivotChart4!$B$2:$B$10</c:f>
              <c:numCache>
                <c:formatCode>General</c:formatCode>
                <c:ptCount val="8"/>
                <c:pt idx="0">
                  <c:v>4</c:v>
                </c:pt>
                <c:pt idx="1">
                  <c:v>2</c:v>
                </c:pt>
                <c:pt idx="2">
                  <c:v>4</c:v>
                </c:pt>
                <c:pt idx="3">
                  <c:v>1</c:v>
                </c:pt>
                <c:pt idx="4">
                  <c:v>7</c:v>
                </c:pt>
                <c:pt idx="5">
                  <c:v>1</c:v>
                </c:pt>
                <c:pt idx="6">
                  <c:v>3</c:v>
                </c:pt>
                <c:pt idx="7">
                  <c:v>1</c:v>
                </c:pt>
              </c:numCache>
            </c:numRef>
          </c:val>
          <c:smooth val="0"/>
          <c:extLst>
            <c:ext xmlns:c16="http://schemas.microsoft.com/office/drawing/2014/chart" uri="{C3380CC4-5D6E-409C-BE32-E72D297353CC}">
              <c16:uniqueId val="{0000000A-F764-4D79-9D66-4683F5A9C0B9}"/>
            </c:ext>
          </c:extLst>
        </c:ser>
        <c:dLbls>
          <c:showLegendKey val="0"/>
          <c:showVal val="0"/>
          <c:showCatName val="0"/>
          <c:showSerName val="0"/>
          <c:showPercent val="0"/>
          <c:showBubbleSize val="0"/>
        </c:dLbls>
        <c:marker val="1"/>
        <c:smooth val="0"/>
        <c:axId val="1244343919"/>
        <c:axId val="1372833391"/>
      </c:lineChart>
      <c:catAx>
        <c:axId val="124434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833391"/>
        <c:crosses val="autoZero"/>
        <c:auto val="1"/>
        <c:lblAlgn val="ctr"/>
        <c:lblOffset val="100"/>
        <c:noMultiLvlLbl val="0"/>
      </c:catAx>
      <c:valAx>
        <c:axId val="137283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34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[lucru_excel.xlsx]Pivotchart5!PivotTable1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Pivotchart5!$B$3</c:f>
              <c:strCache>
                <c:ptCount val="1"/>
                <c:pt idx="0">
                  <c:v>Total valoare(lei)</c:v>
                </c:pt>
              </c:strCache>
            </c:strRef>
          </c:tx>
          <c:spPr>
            <a:solidFill>
              <a:schemeClr val="accent1"/>
            </a:solidFill>
            <a:ln>
              <a:noFill/>
            </a:ln>
            <a:effectLst/>
          </c:spPr>
          <c:invertIfNegative val="0"/>
          <c:cat>
            <c:strRef>
              <c:f>Pivotchart5!$A$4:$A$24</c:f>
              <c:strCache>
                <c:ptCount val="20"/>
                <c:pt idx="0">
                  <c:v>Direcția Relația cu Ong, Sindicate și Patronate</c:v>
                </c:pt>
                <c:pt idx="1">
                  <c:v>Direcția Patrimoniu</c:v>
                </c:pt>
                <c:pt idx="2">
                  <c:v>Direcția Juridic</c:v>
                </c:pt>
                <c:pt idx="3">
                  <c:v>Direcția Auditul și Managementul Calității</c:v>
                </c:pt>
                <c:pt idx="4">
                  <c:v>Serviciul Sănătate și Securitate în Muncă</c:v>
                </c:pt>
                <c:pt idx="5">
                  <c:v>Direcția Managementul Resurselor Umane</c:v>
                </c:pt>
                <c:pt idx="6">
                  <c:v>Direcția Guvernanță Corporativă</c:v>
                </c:pt>
                <c:pt idx="7">
                  <c:v>Direcția de Presă</c:v>
                </c:pt>
                <c:pt idx="8">
                  <c:v>Direcția Generală Economică</c:v>
                </c:pt>
                <c:pt idx="9">
                  <c:v>Direcția Generală Administrație și Relații cu Cgmb</c:v>
                </c:pt>
                <c:pt idx="10">
                  <c:v>Direcția de Mediu</c:v>
                </c:pt>
                <c:pt idx="11">
                  <c:v>Direcția Transporturi</c:v>
                </c:pt>
                <c:pt idx="12">
                  <c:v>Direcția Generală Urbanism și Amenajarea Teritoriului</c:v>
                </c:pt>
                <c:pt idx="13">
                  <c:v>Direcția Generală Management Proiecte cu Finanțare Externă</c:v>
                </c:pt>
                <c:pt idx="14">
                  <c:v>Direcția cultură, Învățământ, Turism</c:v>
                </c:pt>
                <c:pt idx="15">
                  <c:v>Direcția Relații Externe și Protocol</c:v>
                </c:pt>
                <c:pt idx="16">
                  <c:v>Direcția Generală Investiții</c:v>
                </c:pt>
                <c:pt idx="17">
                  <c:v>Direcția Generală Situații de Urgență, Statistici și Strategii</c:v>
                </c:pt>
                <c:pt idx="18">
                  <c:v>Direcția Generală Servicii Publice</c:v>
                </c:pt>
                <c:pt idx="19">
                  <c:v>Direcția Generală Logistică</c:v>
                </c:pt>
              </c:strCache>
            </c:strRef>
          </c:cat>
          <c:val>
            <c:numRef>
              <c:f>Pivotchart5!$B$4:$B$24</c:f>
              <c:numCache>
                <c:formatCode>0.00</c:formatCode>
                <c:ptCount val="20"/>
                <c:pt idx="0">
                  <c:v>2700</c:v>
                </c:pt>
                <c:pt idx="1">
                  <c:v>10782.57</c:v>
                </c:pt>
                <c:pt idx="2">
                  <c:v>35000</c:v>
                </c:pt>
                <c:pt idx="3">
                  <c:v>58800</c:v>
                </c:pt>
                <c:pt idx="4">
                  <c:v>92000</c:v>
                </c:pt>
                <c:pt idx="5">
                  <c:v>266573.05</c:v>
                </c:pt>
                <c:pt idx="6">
                  <c:v>306000</c:v>
                </c:pt>
                <c:pt idx="7">
                  <c:v>350230</c:v>
                </c:pt>
                <c:pt idx="8">
                  <c:v>408100</c:v>
                </c:pt>
                <c:pt idx="9">
                  <c:v>420000</c:v>
                </c:pt>
                <c:pt idx="10">
                  <c:v>624210.35</c:v>
                </c:pt>
                <c:pt idx="11">
                  <c:v>836600</c:v>
                </c:pt>
                <c:pt idx="12">
                  <c:v>1003853</c:v>
                </c:pt>
                <c:pt idx="13">
                  <c:v>1084451.3</c:v>
                </c:pt>
                <c:pt idx="14">
                  <c:v>1372915</c:v>
                </c:pt>
                <c:pt idx="15">
                  <c:v>2489795.87</c:v>
                </c:pt>
                <c:pt idx="16">
                  <c:v>2562736.0599999996</c:v>
                </c:pt>
                <c:pt idx="17">
                  <c:v>3342223.82</c:v>
                </c:pt>
                <c:pt idx="18">
                  <c:v>3383896</c:v>
                </c:pt>
                <c:pt idx="19">
                  <c:v>7993496.5599999987</c:v>
                </c:pt>
              </c:numCache>
            </c:numRef>
          </c:val>
          <c:extLst>
            <c:ext xmlns:c16="http://schemas.microsoft.com/office/drawing/2014/chart" uri="{C3380CC4-5D6E-409C-BE32-E72D297353CC}">
              <c16:uniqueId val="{00000000-3F0C-4677-8B3D-FA0D1CB39ED9}"/>
            </c:ext>
          </c:extLst>
        </c:ser>
        <c:dLbls>
          <c:showLegendKey val="0"/>
          <c:showVal val="0"/>
          <c:showCatName val="0"/>
          <c:showSerName val="0"/>
          <c:showPercent val="0"/>
          <c:showBubbleSize val="0"/>
        </c:dLbls>
        <c:gapWidth val="219"/>
        <c:axId val="16307823"/>
        <c:axId val="16291983"/>
      </c:barChart>
      <c:lineChart>
        <c:grouping val="standard"/>
        <c:varyColors val="0"/>
        <c:ser>
          <c:idx val="1"/>
          <c:order val="1"/>
          <c:tx>
            <c:strRef>
              <c:f>Pivotchart5!$C$3</c:f>
              <c:strCache>
                <c:ptCount val="1"/>
                <c:pt idx="0">
                  <c:v>Total achiziții</c:v>
                </c:pt>
              </c:strCache>
            </c:strRef>
          </c:tx>
          <c:spPr>
            <a:ln w="28575" cap="rnd">
              <a:solidFill>
                <a:schemeClr val="accent2"/>
              </a:solidFill>
              <a:round/>
            </a:ln>
            <a:effectLst/>
          </c:spPr>
          <c:marker>
            <c:symbol val="none"/>
          </c:marker>
          <c:cat>
            <c:strRef>
              <c:f>Pivotchart5!$A$4:$A$24</c:f>
              <c:strCache>
                <c:ptCount val="20"/>
                <c:pt idx="0">
                  <c:v>Direcția Relația cu Ong, Sindicate și Patronate</c:v>
                </c:pt>
                <c:pt idx="1">
                  <c:v>Direcția Patrimoniu</c:v>
                </c:pt>
                <c:pt idx="2">
                  <c:v>Direcția Juridic</c:v>
                </c:pt>
                <c:pt idx="3">
                  <c:v>Direcția Auditul și Managementul Calității</c:v>
                </c:pt>
                <c:pt idx="4">
                  <c:v>Serviciul Sănătate și Securitate în Muncă</c:v>
                </c:pt>
                <c:pt idx="5">
                  <c:v>Direcția Managementul Resurselor Umane</c:v>
                </c:pt>
                <c:pt idx="6">
                  <c:v>Direcția Guvernanță Corporativă</c:v>
                </c:pt>
                <c:pt idx="7">
                  <c:v>Direcția de Presă</c:v>
                </c:pt>
                <c:pt idx="8">
                  <c:v>Direcția Generală Economică</c:v>
                </c:pt>
                <c:pt idx="9">
                  <c:v>Direcția Generală Administrație și Relații cu Cgmb</c:v>
                </c:pt>
                <c:pt idx="10">
                  <c:v>Direcția de Mediu</c:v>
                </c:pt>
                <c:pt idx="11">
                  <c:v>Direcția Transporturi</c:v>
                </c:pt>
                <c:pt idx="12">
                  <c:v>Direcția Generală Urbanism și Amenajarea Teritoriului</c:v>
                </c:pt>
                <c:pt idx="13">
                  <c:v>Direcția Generală Management Proiecte cu Finanțare Externă</c:v>
                </c:pt>
                <c:pt idx="14">
                  <c:v>Direcția cultură, Învățământ, Turism</c:v>
                </c:pt>
                <c:pt idx="15">
                  <c:v>Direcția Relații Externe și Protocol</c:v>
                </c:pt>
                <c:pt idx="16">
                  <c:v>Direcția Generală Investiții</c:v>
                </c:pt>
                <c:pt idx="17">
                  <c:v>Direcția Generală Situații de Urgență, Statistici și Strategii</c:v>
                </c:pt>
                <c:pt idx="18">
                  <c:v>Direcția Generală Servicii Publice</c:v>
                </c:pt>
                <c:pt idx="19">
                  <c:v>Direcția Generală Logistică</c:v>
                </c:pt>
              </c:strCache>
            </c:strRef>
          </c:cat>
          <c:val>
            <c:numRef>
              <c:f>Pivotchart5!$C$4:$C$24</c:f>
              <c:numCache>
                <c:formatCode>General</c:formatCode>
                <c:ptCount val="20"/>
                <c:pt idx="0">
                  <c:v>2</c:v>
                </c:pt>
                <c:pt idx="1">
                  <c:v>3</c:v>
                </c:pt>
                <c:pt idx="2">
                  <c:v>1</c:v>
                </c:pt>
                <c:pt idx="3">
                  <c:v>1</c:v>
                </c:pt>
                <c:pt idx="4">
                  <c:v>1</c:v>
                </c:pt>
                <c:pt idx="5">
                  <c:v>4</c:v>
                </c:pt>
                <c:pt idx="6">
                  <c:v>30</c:v>
                </c:pt>
                <c:pt idx="7">
                  <c:v>3</c:v>
                </c:pt>
                <c:pt idx="8">
                  <c:v>4</c:v>
                </c:pt>
                <c:pt idx="9">
                  <c:v>4</c:v>
                </c:pt>
                <c:pt idx="10">
                  <c:v>9</c:v>
                </c:pt>
                <c:pt idx="11">
                  <c:v>5</c:v>
                </c:pt>
                <c:pt idx="12">
                  <c:v>2</c:v>
                </c:pt>
                <c:pt idx="13">
                  <c:v>14</c:v>
                </c:pt>
                <c:pt idx="14">
                  <c:v>11</c:v>
                </c:pt>
                <c:pt idx="15">
                  <c:v>33</c:v>
                </c:pt>
                <c:pt idx="16">
                  <c:v>9</c:v>
                </c:pt>
                <c:pt idx="17">
                  <c:v>70</c:v>
                </c:pt>
                <c:pt idx="18">
                  <c:v>11</c:v>
                </c:pt>
                <c:pt idx="19">
                  <c:v>82</c:v>
                </c:pt>
              </c:numCache>
            </c:numRef>
          </c:val>
          <c:smooth val="0"/>
          <c:extLst>
            <c:ext xmlns:c16="http://schemas.microsoft.com/office/drawing/2014/chart" uri="{C3380CC4-5D6E-409C-BE32-E72D297353CC}">
              <c16:uniqueId val="{00000001-3F0C-4677-8B3D-FA0D1CB39ED9}"/>
            </c:ext>
          </c:extLst>
        </c:ser>
        <c:dLbls>
          <c:showLegendKey val="0"/>
          <c:showVal val="0"/>
          <c:showCatName val="0"/>
          <c:showSerName val="0"/>
          <c:showPercent val="0"/>
          <c:showBubbleSize val="0"/>
        </c:dLbls>
        <c:marker val="1"/>
        <c:smooth val="0"/>
        <c:axId val="1516737983"/>
        <c:axId val="1516737503"/>
      </c:lineChart>
      <c:catAx>
        <c:axId val="16307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1983"/>
        <c:crosses val="autoZero"/>
        <c:auto val="1"/>
        <c:lblAlgn val="ctr"/>
        <c:lblOffset val="100"/>
        <c:noMultiLvlLbl val="0"/>
      </c:catAx>
      <c:valAx>
        <c:axId val="162919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7823"/>
        <c:crosses val="autoZero"/>
        <c:crossBetween val="between"/>
      </c:valAx>
      <c:valAx>
        <c:axId val="151673750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6737983"/>
        <c:crosses val="max"/>
        <c:crossBetween val="between"/>
      </c:valAx>
      <c:catAx>
        <c:axId val="1516737983"/>
        <c:scaling>
          <c:orientation val="minMax"/>
        </c:scaling>
        <c:delete val="1"/>
        <c:axPos val="b"/>
        <c:numFmt formatCode="General" sourceLinked="1"/>
        <c:majorTickMark val="out"/>
        <c:minorTickMark val="none"/>
        <c:tickLblPos val="nextTo"/>
        <c:crossAx val="1516737503"/>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160020</xdr:colOff>
      <xdr:row>0</xdr:row>
      <xdr:rowOff>0</xdr:rowOff>
    </xdr:from>
    <xdr:to>
      <xdr:col>9</xdr:col>
      <xdr:colOff>464820</xdr:colOff>
      <xdr:row>15</xdr:row>
      <xdr:rowOff>0</xdr:rowOff>
    </xdr:to>
    <xdr:graphicFrame macro="">
      <xdr:nvGraphicFramePr>
        <xdr:cNvPr id="2" name="Chart 1">
          <a:extLst>
            <a:ext uri="{FF2B5EF4-FFF2-40B4-BE49-F238E27FC236}">
              <a16:creationId xmlns:a16="http://schemas.microsoft.com/office/drawing/2014/main" id="{DB2D160B-9565-A8CF-431F-8D059564FD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xdr:colOff>
      <xdr:row>3</xdr:row>
      <xdr:rowOff>99060</xdr:rowOff>
    </xdr:from>
    <xdr:to>
      <xdr:col>14</xdr:col>
      <xdr:colOff>175260</xdr:colOff>
      <xdr:row>21</xdr:row>
      <xdr:rowOff>144780</xdr:rowOff>
    </xdr:to>
    <xdr:graphicFrame macro="">
      <xdr:nvGraphicFramePr>
        <xdr:cNvPr id="3" name="Chart 2">
          <a:extLst>
            <a:ext uri="{FF2B5EF4-FFF2-40B4-BE49-F238E27FC236}">
              <a16:creationId xmlns:a16="http://schemas.microsoft.com/office/drawing/2014/main" id="{0A7F528B-8A13-1A8B-AD47-2944555319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15240</xdr:colOff>
      <xdr:row>0</xdr:row>
      <xdr:rowOff>0</xdr:rowOff>
    </xdr:from>
    <xdr:to>
      <xdr:col>10</xdr:col>
      <xdr:colOff>571500</xdr:colOff>
      <xdr:row>16</xdr:row>
      <xdr:rowOff>99060</xdr:rowOff>
    </xdr:to>
    <xdr:graphicFrame macro="">
      <xdr:nvGraphicFramePr>
        <xdr:cNvPr id="2" name="Chart 1">
          <a:extLst>
            <a:ext uri="{FF2B5EF4-FFF2-40B4-BE49-F238E27FC236}">
              <a16:creationId xmlns:a16="http://schemas.microsoft.com/office/drawing/2014/main" id="{664865E2-2835-2EB1-B9FF-29F3B8CD62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99060</xdr:colOff>
      <xdr:row>0</xdr:row>
      <xdr:rowOff>0</xdr:rowOff>
    </xdr:from>
    <xdr:to>
      <xdr:col>11</xdr:col>
      <xdr:colOff>579120</xdr:colOff>
      <xdr:row>15</xdr:row>
      <xdr:rowOff>0</xdr:rowOff>
    </xdr:to>
    <xdr:graphicFrame macro="">
      <xdr:nvGraphicFramePr>
        <xdr:cNvPr id="2" name="Chart 1">
          <a:extLst>
            <a:ext uri="{FF2B5EF4-FFF2-40B4-BE49-F238E27FC236}">
              <a16:creationId xmlns:a16="http://schemas.microsoft.com/office/drawing/2014/main" id="{9411AE57-4C55-CF95-F58B-C984F2371F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22860</xdr:colOff>
      <xdr:row>4</xdr:row>
      <xdr:rowOff>83820</xdr:rowOff>
    </xdr:from>
    <xdr:to>
      <xdr:col>12</xdr:col>
      <xdr:colOff>167640</xdr:colOff>
      <xdr:row>22</xdr:row>
      <xdr:rowOff>91440</xdr:rowOff>
    </xdr:to>
    <xdr:graphicFrame macro="">
      <xdr:nvGraphicFramePr>
        <xdr:cNvPr id="2" name="Chart 1">
          <a:extLst>
            <a:ext uri="{FF2B5EF4-FFF2-40B4-BE49-F238E27FC236}">
              <a16:creationId xmlns:a16="http://schemas.microsoft.com/office/drawing/2014/main" id="{6F828842-027F-6A02-D345-C22227EDB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0.016154166668" createdVersion="8" refreshedVersion="8" minRefreshableVersion="3" recordCount="23" xr:uid="{9BB3A77A-D97C-4443-8ED7-0DB492B9A0DB}">
  <cacheSource type="worksheet">
    <worksheetSource ref="A1:H24" sheet="Contracte "/>
  </cacheSource>
  <cacheFields count="10">
    <cacheField name="ID_contract" numFmtId="0">
      <sharedItems containsSemiMixedTypes="0" containsString="0" containsNumber="1" containsInteger="1" minValue="202" maxValue="227"/>
    </cacheField>
    <cacheField name="Data_contract" numFmtId="165">
      <sharedItems containsSemiMixedTypes="0" containsNonDate="0" containsDate="1" containsString="0" minDate="2025-01-16T00:00:00" maxDate="2025-09-12T00:00:00" count="17">
        <d v="2025-01-16T00:00:00"/>
        <d v="2025-01-17T00:00:00"/>
        <d v="2025-01-31T00:00:00"/>
        <d v="2025-02-24T00:00:00"/>
        <d v="2025-02-28T00:00:00"/>
        <d v="2025-03-03T00:00:00"/>
        <d v="2025-03-13T00:00:00"/>
        <d v="2025-03-25T00:00:00"/>
        <d v="2025-04-22T00:00:00"/>
        <d v="2025-05-06T00:00:00"/>
        <d v="2025-05-07T00:00:00"/>
        <d v="2025-05-08T00:00:00"/>
        <d v="2025-05-19T00:00:00"/>
        <d v="2025-05-23T00:00:00"/>
        <d v="2025-06-04T00:00:00"/>
        <d v="2025-08-22T00:00:00"/>
        <d v="2025-09-11T00:00:00"/>
      </sharedItems>
      <fieldGroup par="9"/>
    </cacheField>
    <cacheField name="Parte_contractantă" numFmtId="0">
      <sharedItems count="20">
        <s v="GLOB STAR TRAde SRL"/>
        <s v="LIBRO EVENTS SRL"/>
        <s v="COMPANIA NATIONALA POSTA ROMANA SA"/>
        <s v="FIP CONSULTING SRL"/>
        <s v="PRIME TELECOM S.R.L."/>
        <s v="VODAFONE ROMANIA S.A."/>
        <s v="CORES ELECTRONIC SRL"/>
        <s v="Centrul Teritorial de Calcul Electronic S.A."/>
        <s v="Asocierea Alpha Bank România S.A., Banca Comercială Română S.A., BRD – Groupe Société Générale S.A și Raiffeisen Bank S.A."/>
        <s v="Fitch Ratings Ireland Limited spółka z ograniczoną odpowiedzialnością oddział w Polsce"/>
        <s v="depozitarul Central S.A."/>
        <s v="MEDIA TEHNOCABLU SRL"/>
        <s v="Asocierea EPC - CONSULTANȚĂ de MEDIU S.R.L. (Lider) - VLAAMSE INSTELLING VOOR TECHNOLOGISH ONdeRZOEK N.V. (asociat)"/>
        <s v="SC MEDIATEL DATA SRL"/>
        <s v="LRQA RO SRL"/>
        <s v="Compania Municipală Energetica Servicii"/>
        <s v="S.C. dendrio Solutions SRL"/>
        <s v="SC ANIMA SPECIALITY MEDICAL SERVICES SRL"/>
        <s v="S.C. MEDIATRUST ROMANIA S.R.L."/>
        <s v="ENERGY CONTROL SOLUTIONS SRL"/>
      </sharedItems>
    </cacheField>
    <cacheField name="Valoare(lei)" numFmtId="2">
      <sharedItems containsSemiMixedTypes="0" containsString="0" containsNumber="1" minValue="7680" maxValue="2840000"/>
    </cacheField>
    <cacheField name="Obiect_contract" numFmtId="2">
      <sharedItems longText="1"/>
    </cacheField>
    <cacheField name="Valoare(lei)2" numFmtId="2">
      <sharedItems containsSemiMixedTypes="0" containsString="0" containsNumber="1" minValue="7680" maxValue="2840000"/>
    </cacheField>
    <cacheField name="Direcție_responsabilă" numFmtId="0">
      <sharedItems count="8">
        <s v="Direcția Generală Logistică"/>
        <s v="Direcția Generală Investiții"/>
        <s v="Direcția Generală Economică"/>
        <s v="Direcția de Mediu"/>
        <s v="Direcția Generală Administrație și Relații cu Cgmb"/>
        <s v="Direcția Auditul și Managementul Calității"/>
        <s v="Serviciul Sănătate și Securitate În Muncă"/>
        <s v="Direcția de Presă"/>
      </sharedItems>
    </cacheField>
    <cacheField name="ID_direcție" numFmtId="0">
      <sharedItems containsSemiMixedTypes="0" containsString="0" containsNumber="1" containsInteger="1" minValue="2" maxValue="25"/>
    </cacheField>
    <cacheField name="Days (Data_contract)" numFmtId="0" databaseField="0">
      <fieldGroup base="1">
        <rangePr groupBy="days" startDate="2025-01-16T00:00:00" endDate="2025-09-12T00:00:00"/>
        <groupItems count="368">
          <s v="&lt;1/16/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12/2025"/>
        </groupItems>
      </fieldGroup>
    </cacheField>
    <cacheField name="Months (Data_contract)" numFmtId="0" databaseField="0">
      <fieldGroup base="1">
        <rangePr groupBy="months" startDate="2025-01-16T00:00:00" endDate="2025-09-12T00:00:00"/>
        <groupItems count="14">
          <s v="&lt;1/16/2025"/>
          <s v="Jan"/>
          <s v="Feb"/>
          <s v="Mar"/>
          <s v="Apr"/>
          <s v="May"/>
          <s v="Jun"/>
          <s v="Jul"/>
          <s v="Aug"/>
          <s v="Sep"/>
          <s v="Oct"/>
          <s v="Nov"/>
          <s v="Dec"/>
          <s v="&gt;9/12/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20.020746296294" createdVersion="8" refreshedVersion="8" minRefreshableVersion="3" recordCount="299" xr:uid="{49220DA0-A253-427B-85E5-197F0CEDF322}">
  <cacheSource type="worksheet">
    <worksheetSource ref="A1:H300" sheet="Achiziții_publice"/>
  </cacheSource>
  <cacheFields count="8">
    <cacheField name="ID_achiziție" numFmtId="0">
      <sharedItems containsSemiMixedTypes="0" containsString="0" containsNumber="1" containsInteger="1" minValue="301" maxValue="667"/>
    </cacheField>
    <cacheField name="Denumire_achiziție" numFmtId="0">
      <sharedItems longText="1"/>
    </cacheField>
    <cacheField name="Obiectul_contractului" numFmtId="0">
      <sharedItems count="33">
        <s v="Furnizate"/>
        <s v="Rechizite"/>
        <s v="Stații servere și echipamente de procesare"/>
        <s v="Echipamente IT"/>
        <s v="Materiale personalizate"/>
        <s v="Pachete și licențe software"/>
        <s v="Servicii de mentenanță preventivă"/>
        <s v="Servicii hoteliere"/>
        <s v="Servicii de asigurare"/>
        <s v="Servicii de consultanţă în materie de deşeuri"/>
        <s v="Servicii de programare şi de consultanţă software"/>
        <s v="Studii de fezabilitate"/>
        <s v="Servicii de publicitate"/>
        <s v="Servicii de formare"/>
        <s v="Servicii de închiriere, amplasare şi întreţinere a toaletelor"/>
        <s v="Servicii de colectare a deşeurilor"/>
        <s v="Servicii de curăţenie şi igienizare"/>
        <s v="Alte servicii"/>
        <s v="Servicii de reparare şi de întreţinere a aparatelor de testare"/>
        <s v="Servicii de brokeraj şi servicii conexe titlurilor şi mărfurilor"/>
        <s v="Servicii de gestionare a tranzacţiilor financiare şi servicii de case de compensare"/>
        <s v="Servicii de urbanism"/>
        <s v="Furnizare directă"/>
        <s v="Servicii directe"/>
        <s v="Lucrări directe"/>
        <s v="Extinderea și reabilitarea infrastructurii de apă și apă uzată în zonele Ghidigeni, Oltenitei, Cheile Turzii și Henri Coandă"/>
        <s v="Reabilitarea sistemului de termoficare"/>
        <s v="Achiziționare autobuze electrice necesare îmbunătățirii transportului public de călători"/>
        <s v="Sistem ITS integrat Smart&amp;Green Mobility"/>
        <s v="Înnoirea parcului de vehicule destinate transportului public prin achiziția a unui număr de 22 de troleibuze cu emisii zero sau cu baterii"/>
        <s v="Achiziționarea de vehicule nepoluante pentru transportul public"/>
        <s v="Modernizarea și dotarea liniilor de tramvai"/>
        <s v="ECOALITY: Tineret și Autorități Locale împreună pentru justiția de gen și climatică"/>
      </sharedItems>
    </cacheField>
    <cacheField name="Tip_contract" numFmtId="0">
      <sharedItems count="7">
        <s v="Furnizare - Acord cadru"/>
        <s v="Furnizare - Contract"/>
        <s v="Servicii - Contract"/>
        <s v="Servicii - Acord cadru"/>
        <s v="Furnizare"/>
        <s v="Servicii"/>
        <s v="Lucrări"/>
      </sharedItems>
    </cacheField>
    <cacheField name="Valoare(lei)" numFmtId="2">
      <sharedItems containsSemiMixedTypes="0" containsString="0" containsNumber="1" minValue="100" maxValue="693660"/>
    </cacheField>
    <cacheField name="Sursă_finanțare" numFmtId="0">
      <sharedItems count="3">
        <s v="Cheltuieli curente"/>
        <s v="Investiții"/>
        <s v="Alte surse"/>
      </sharedItems>
    </cacheField>
    <cacheField name="Direcția_inițiatoare" numFmtId="0">
      <sharedItems count="20">
        <s v="Direcția Generală Logistică"/>
        <s v="Direcția Generală Situații de Urgență, Statistici și Strategii"/>
        <s v="Direcția Relații Externe și Protocol"/>
        <s v="Direcția cultură, Învățământ, Turism"/>
        <s v="Direcția Generală Investiții"/>
        <s v="Direcția Managementul Resurselor Umane"/>
        <s v="Direcția Generală Servicii Publice"/>
        <s v="Direcția Transporturi"/>
        <s v="Direcția Patrimoniu"/>
        <s v="Direcția de Presă"/>
        <s v="Direcția Guvernanță Corporativă"/>
        <s v="Direcția Relația cu Ong, Sindicate și Patronate"/>
        <s v="Direcția Generală Management Proiecte cu Finanțare Externă"/>
        <s v="Direcția de Mediu"/>
        <s v="Serviciul Sănătate și Securitate în Muncă"/>
        <s v="Direcția Generală Economică"/>
        <s v="Direcția Generală Urbanism și Amenajarea Teritoriului"/>
        <s v="Direcția Generală Administrație și Relații cu Cgmb"/>
        <s v="Direcția Auditul și Managementul Calității"/>
        <s v="Direcția Juridic"/>
      </sharedItems>
    </cacheField>
    <cacheField name="ID_direcție" numFmtId="0">
      <sharedItems containsSemiMixedTypes="0" containsString="0" containsNumber="1" containsInteger="1" minValue="2" maxValue="2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
  <r>
    <n v="202"/>
    <x v="0"/>
    <x v="0"/>
    <n v="42192"/>
    <s v="Contract achizitie publica de produse - SURSE de ALIMENTARE NEINTRERUPTIBILE (UPS)"/>
    <n v="42192"/>
    <x v="0"/>
    <n v="10"/>
  </r>
  <r>
    <n v="203"/>
    <x v="1"/>
    <x v="1"/>
    <n v="269400"/>
    <s v="Contract de prestare - servicii de curatenie a spatiilor administrate de Municipiul Bucuresti, prin Directia Admninistrativa"/>
    <n v="269400"/>
    <x v="0"/>
    <n v="10"/>
  </r>
  <r>
    <n v="204"/>
    <x v="2"/>
    <x v="2"/>
    <n v="200000"/>
    <s v="Contract subsecvent 1 - servicii postale si de curierat"/>
    <n v="200000"/>
    <x v="0"/>
    <n v="10"/>
  </r>
  <r>
    <n v="205"/>
    <x v="2"/>
    <x v="3"/>
    <n v="1180000"/>
    <s v="Act aditional nr 2 la contract nr.208.10.05.2024 privind servicii de elaborare documentație tehnică studiu de fezabilitate, completat cu elementele specifice din documentația de avizare a lucrărilor de intervenții pentru obiectivul “Studii, documentații pt. lucrări străzi-Lărgire bd. Dimitrie Pompeiu cu extindere infrastructură de tramvai și străpungere bd. Barbu Văcărescu, construire drum de legătură între șos. Pipera, bd. Dimitrie Pompeiu"/>
    <n v="1180000"/>
    <x v="1"/>
    <n v="3"/>
  </r>
  <r>
    <n v="206"/>
    <x v="3"/>
    <x v="4"/>
    <n v="8640"/>
    <s v="Contract de achizitie publica avand ca obiect prestare Servicii de lnterconectare a sediilor PMB"/>
    <n v="8640"/>
    <x v="0"/>
    <n v="10"/>
  </r>
  <r>
    <n v="207"/>
    <x v="4"/>
    <x v="5"/>
    <n v="15720"/>
    <s v="Prestare ”Servicii de conectare în rețeaua metropolitană și accesul la internet al PMB”"/>
    <n v="15720"/>
    <x v="0"/>
    <n v="10"/>
  </r>
  <r>
    <n v="208"/>
    <x v="5"/>
    <x v="6"/>
    <n v="46000"/>
    <s v="Service post-garantie pentru sistemul CORPAGE implementat la C.I.D.R.C."/>
    <n v="46000"/>
    <x v="0"/>
    <n v="10"/>
  </r>
  <r>
    <n v="209"/>
    <x v="6"/>
    <x v="7"/>
    <n v="7680"/>
    <s v="Servicii de asistență tehnică și mentenanță aplicație legislativă"/>
    <n v="7680"/>
    <x v="0"/>
    <n v="10"/>
  </r>
  <r>
    <n v="210"/>
    <x v="7"/>
    <x v="8"/>
    <n v="2840000"/>
    <s v="Contract de servicii"/>
    <n v="2840000"/>
    <x v="2"/>
    <n v="2"/>
  </r>
  <r>
    <n v="211"/>
    <x v="7"/>
    <x v="9"/>
    <n v="195000"/>
    <s v="Contract servicii"/>
    <n v="195000"/>
    <x v="2"/>
    <n v="2"/>
  </r>
  <r>
    <n v="212"/>
    <x v="8"/>
    <x v="10"/>
    <n v="15534"/>
    <s v="Contract de servicii de depozitare si registru"/>
    <n v="15534"/>
    <x v="2"/>
    <n v="2"/>
  </r>
  <r>
    <n v="213"/>
    <x v="9"/>
    <x v="11"/>
    <n v="63200"/>
    <s v="Furnizare ”Unități de Hrd Disk, dispozitive de stocare, memorie RAM”"/>
    <n v="63200"/>
    <x v="0"/>
    <n v="10"/>
  </r>
  <r>
    <n v="214"/>
    <x v="10"/>
    <x v="12"/>
    <n v="2234895"/>
    <s v="Studiu de calitate a aerului și asistență tehnică pentru realizarea Planului Integrat de Calitate a Aerului și a Planului de Menținere a Calității Aerului în Municipiul București"/>
    <n v="2234895"/>
    <x v="3"/>
    <n v="12"/>
  </r>
  <r>
    <n v="215"/>
    <x v="11"/>
    <x v="13"/>
    <n v="29212.080000000002"/>
    <s v="Servicii de reparații, întreținere și configurare pentru Call Center"/>
    <n v="29212.080000000002"/>
    <x v="4"/>
    <n v="6"/>
  </r>
  <r>
    <n v="216"/>
    <x v="12"/>
    <x v="14"/>
    <n v="58772.87"/>
    <s v="Contract de servicii de Supraveghere a Sistemului de Management Integrat (calitate-mediu)"/>
    <n v="58772.87"/>
    <x v="5"/>
    <n v="15"/>
  </r>
  <r>
    <n v="217"/>
    <x v="12"/>
    <x v="15"/>
    <n v="2141634.2000000002"/>
    <s v="Servicii de supervizare si dirigentie de santier pentru obiectivul de investiții “Refacere și modernizare Patinoar artificial Mihai Flamaropol și realizarea de spatii adiacente necesare desfasurarii activităților sportive și de agrement”"/>
    <n v="2141634.2000000002"/>
    <x v="1"/>
    <n v="3"/>
  </r>
  <r>
    <n v="218"/>
    <x v="13"/>
    <x v="16"/>
    <n v="197000"/>
    <s v="Pachet servicii subscripție antivirus, antispam"/>
    <n v="197000"/>
    <x v="0"/>
    <n v="10"/>
  </r>
  <r>
    <n v="219"/>
    <x v="13"/>
    <x v="17"/>
    <n v="19333.330000000002"/>
    <s v="Servicii de medicina muncii pentru angajații PMB"/>
    <n v="19333.330000000002"/>
    <x v="6"/>
    <n v="25"/>
  </r>
  <r>
    <n v="220"/>
    <x v="14"/>
    <x v="18"/>
    <n v="77000"/>
    <s v="Monitorizare și analiză de presă"/>
    <n v="77000"/>
    <x v="7"/>
    <n v="20"/>
  </r>
  <r>
    <n v="221"/>
    <x v="15"/>
    <x v="15"/>
    <n v="44044.45"/>
    <s v="&quot;Servicii de consultanță și dirigenție de șantier pentru obiectivul de investiții:"/>
    <n v="44044.45"/>
    <x v="1"/>
    <n v="3"/>
  </r>
  <r>
    <n v="222"/>
    <x v="15"/>
    <x v="15"/>
    <n v="77219.16"/>
    <s v="&quot;Servicii de consultanță și dirigenție de șantier pentru obiectivul de investiții: - “Amenajare depou Bujoreni pentru deservirea autobuzelor electrice”, &quot;"/>
    <n v="77219.16"/>
    <x v="1"/>
    <n v="3"/>
  </r>
  <r>
    <n v="223"/>
    <x v="15"/>
    <x v="15"/>
    <n v="116648.58"/>
    <s v="&quot;Servicii de consultanță și dirigenție de șantier pentru obiectivul de investiții: - “Amenajare depou Berceni pentru deservirea autobuzelor electrice”, &quot;"/>
    <n v="116648.58"/>
    <x v="1"/>
    <n v="3"/>
  </r>
  <r>
    <n v="227"/>
    <x v="16"/>
    <x v="19"/>
    <n v="675000"/>
    <s v="Servicii de proiectare și execuție lucrări de racordare la rețeaua electrică a locului de consum Primaria Sector 5, B-dul Regina Elisabeta, nr. 29-31, Sector 5, pentru obiectivul de investiții „Consolidare, reabilitare, extindere si restaurare fatada imobil B-dul Regina Elisabeta, nr. 29-31, Sector 5”"/>
    <n v="675000"/>
    <x v="1"/>
    <n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
  <r>
    <n v="301"/>
    <s v="Carburant pentru autovehiculele din parcul auto al PMB"/>
    <x v="0"/>
    <x v="0"/>
    <n v="660000"/>
    <x v="0"/>
    <x v="0"/>
    <n v="10"/>
  </r>
  <r>
    <n v="304"/>
    <s v="Rechizite"/>
    <x v="1"/>
    <x v="1"/>
    <n v="25000"/>
    <x v="0"/>
    <x v="0"/>
    <n v="10"/>
  </r>
  <r>
    <n v="305"/>
    <s v="Dispozitive de distrugere a documentelor"/>
    <x v="1"/>
    <x v="1"/>
    <n v="350000"/>
    <x v="0"/>
    <x v="0"/>
    <n v="10"/>
  </r>
  <r>
    <n v="306"/>
    <s v="Rechizite - Hârtie pentru fotocopiatoare"/>
    <x v="1"/>
    <x v="1"/>
    <n v="190000"/>
    <x v="0"/>
    <x v="0"/>
    <n v="10"/>
  </r>
  <r>
    <n v="307"/>
    <s v="Echipamente de birou cu excepția mobilierului"/>
    <x v="1"/>
    <x v="1"/>
    <n v="571735"/>
    <x v="0"/>
    <x v="1"/>
    <n v="9"/>
  </r>
  <r>
    <n v="308"/>
    <s v="Dispozitive de distrugere a documentelor"/>
    <x v="1"/>
    <x v="1"/>
    <n v="1829"/>
    <x v="0"/>
    <x v="1"/>
    <n v="9"/>
  </r>
  <r>
    <n v="309"/>
    <s v="Calculator de birou"/>
    <x v="1"/>
    <x v="1"/>
    <n v="710"/>
    <x v="0"/>
    <x v="1"/>
    <n v="9"/>
  </r>
  <r>
    <n v="311"/>
    <s v="Stații grafice cu licențe și accesorii"/>
    <x v="2"/>
    <x v="1"/>
    <n v="400000"/>
    <x v="0"/>
    <x v="0"/>
    <n v="10"/>
  </r>
  <r>
    <n v="312"/>
    <s v="Calculatoare portabile"/>
    <x v="2"/>
    <x v="1"/>
    <n v="500000"/>
    <x v="0"/>
    <x v="0"/>
    <n v="10"/>
  </r>
  <r>
    <n v="313"/>
    <s v="Laptop"/>
    <x v="2"/>
    <x v="1"/>
    <n v="14622"/>
    <x v="1"/>
    <x v="1"/>
    <n v="9"/>
  </r>
  <r>
    <n v="314"/>
    <s v="Calculator PC all in one, sistem de operare win 11, office, antivirus"/>
    <x v="2"/>
    <x v="1"/>
    <n v="41152"/>
    <x v="1"/>
    <x v="1"/>
    <n v="9"/>
  </r>
  <r>
    <n v="318"/>
    <s v="Surse de alimentare neîntreruptibile (UPS)"/>
    <x v="3"/>
    <x v="1"/>
    <n v="50000"/>
    <x v="0"/>
    <x v="0"/>
    <n v="10"/>
  </r>
  <r>
    <n v="319"/>
    <s v="Piese pentru computere (Piese de schimb pentru echipamente tehnică de calcul)"/>
    <x v="3"/>
    <x v="1"/>
    <n v="83000"/>
    <x v="0"/>
    <x v="0"/>
    <n v="10"/>
  </r>
  <r>
    <n v="320"/>
    <s v="Suporturi de stocare date"/>
    <x v="3"/>
    <x v="1"/>
    <n v="25000"/>
    <x v="0"/>
    <x v="0"/>
    <n v="10"/>
  </r>
  <r>
    <n v="321"/>
    <s v="Unități de hard disk, dispozitive de stocare memorie RAM"/>
    <x v="3"/>
    <x v="1"/>
    <n v="65000"/>
    <x v="0"/>
    <x v="0"/>
    <n v="10"/>
  </r>
  <r>
    <n v="322"/>
    <s v="Surse de alimentare neîntreruptibile (UPS)"/>
    <x v="3"/>
    <x v="1"/>
    <n v="58000"/>
    <x v="0"/>
    <x v="0"/>
    <n v="10"/>
  </r>
  <r>
    <n v="323"/>
    <s v="Echipamente electronice IT"/>
    <x v="3"/>
    <x v="1"/>
    <n v="28925"/>
    <x v="1"/>
    <x v="1"/>
    <n v="9"/>
  </r>
  <r>
    <n v="324"/>
    <s v="Imprimantă pentru card de securitate la printare"/>
    <x v="3"/>
    <x v="1"/>
    <n v="25210"/>
    <x v="1"/>
    <x v="1"/>
    <n v="9"/>
  </r>
  <r>
    <n v="325"/>
    <s v="Memory stick 10 buc (32GB), adaptor RJ45-USB"/>
    <x v="3"/>
    <x v="1"/>
    <n v="1315.9"/>
    <x v="1"/>
    <x v="1"/>
    <n v="9"/>
  </r>
  <r>
    <n v="328"/>
    <s v="Materiale uz protocol personalizate"/>
    <x v="4"/>
    <x v="1"/>
    <n v="239980"/>
    <x v="0"/>
    <x v="2"/>
    <n v="22"/>
  </r>
  <r>
    <n v="329"/>
    <s v="Felicitări personalizate (uz protocol)"/>
    <x v="4"/>
    <x v="1"/>
    <n v="131600"/>
    <x v="0"/>
    <x v="2"/>
    <n v="22"/>
  </r>
  <r>
    <n v="330"/>
    <s v="Recipiente izoterme personalizate (uz protocol)"/>
    <x v="4"/>
    <x v="1"/>
    <n v="17600"/>
    <x v="0"/>
    <x v="2"/>
    <n v="22"/>
  </r>
  <r>
    <n v="331"/>
    <s v="Monede și medalii protocol (distribuitor unic Monetăria Statului)"/>
    <x v="4"/>
    <x v="1"/>
    <n v="40600"/>
    <x v="0"/>
    <x v="2"/>
    <n v="22"/>
  </r>
  <r>
    <n v="332"/>
    <s v="Cărți poștale personalizate (uz protocol)"/>
    <x v="4"/>
    <x v="1"/>
    <n v="75400"/>
    <x v="0"/>
    <x v="2"/>
    <n v="22"/>
  </r>
  <r>
    <n v="333"/>
    <s v="Obiecte de artizanat, artă și accesorii (uz protocol)"/>
    <x v="4"/>
    <x v="1"/>
    <n v="209937"/>
    <x v="0"/>
    <x v="2"/>
    <n v="22"/>
  </r>
  <r>
    <n v="334"/>
    <s v="Șervețele de masă personalizate (uz protocol)"/>
    <x v="4"/>
    <x v="1"/>
    <n v="17500"/>
    <x v="0"/>
    <x v="2"/>
    <n v="22"/>
  </r>
  <r>
    <n v="335"/>
    <s v="Magneți personalizați (uz protocol)"/>
    <x v="4"/>
    <x v="1"/>
    <n v="9230"/>
    <x v="0"/>
    <x v="2"/>
    <n v="22"/>
  </r>
  <r>
    <n v="336"/>
    <s v="Obiecte cu însemne naționale (distribuitor unic Romfilatelia)"/>
    <x v="4"/>
    <x v="1"/>
    <n v="6256"/>
    <x v="0"/>
    <x v="2"/>
    <n v="22"/>
  </r>
  <r>
    <n v="337"/>
    <s v="Agende de protocol personalizate"/>
    <x v="4"/>
    <x v="1"/>
    <n v="93146"/>
    <x v="0"/>
    <x v="2"/>
    <n v="22"/>
  </r>
  <r>
    <n v="338"/>
    <s v="Calendare personalizate"/>
    <x v="4"/>
    <x v="1"/>
    <n v="5254"/>
    <x v="0"/>
    <x v="2"/>
    <n v="22"/>
  </r>
  <r>
    <n v="339"/>
    <s v="Cărți de vizită diplomatice"/>
    <x v="4"/>
    <x v="1"/>
    <n v="62845"/>
    <x v="0"/>
    <x v="2"/>
    <n v="22"/>
  </r>
  <r>
    <n v="340"/>
    <s v="Stegulețe din pânză fanion pentru vizitele/întâlnirile diplomatice"/>
    <x v="4"/>
    <x v="1"/>
    <n v="17731"/>
    <x v="0"/>
    <x v="2"/>
    <n v="22"/>
  </r>
  <r>
    <n v="341"/>
    <s v="Umbrele de ploaie personalizate uz protocol"/>
    <x v="4"/>
    <x v="1"/>
    <n v="23462"/>
    <x v="0"/>
    <x v="2"/>
    <n v="22"/>
  </r>
  <r>
    <n v="342"/>
    <s v="Insigne tricolor uz protocol"/>
    <x v="4"/>
    <x v="1"/>
    <n v="84500"/>
    <x v="0"/>
    <x v="2"/>
    <n v="22"/>
  </r>
  <r>
    <n v="343"/>
    <s v="Albume de colecții (uz diplomatic)"/>
    <x v="4"/>
    <x v="1"/>
    <n v="10136"/>
    <x v="0"/>
    <x v="2"/>
    <n v="22"/>
  </r>
  <r>
    <n v="344"/>
    <s v="Stilouri cu rezervor personalizate"/>
    <x v="4"/>
    <x v="1"/>
    <n v="10167"/>
    <x v="0"/>
    <x v="2"/>
    <n v="22"/>
  </r>
  <r>
    <n v="345"/>
    <s v="Cocarda tricolor"/>
    <x v="4"/>
    <x v="1"/>
    <n v="181700"/>
    <x v="0"/>
    <x v="2"/>
    <n v="22"/>
  </r>
  <r>
    <n v="346"/>
    <s v="Suport pentru pahar (uz protocol)"/>
    <x v="4"/>
    <x v="1"/>
    <n v="9500"/>
    <x v="0"/>
    <x v="2"/>
    <n v="22"/>
  </r>
  <r>
    <n v="347"/>
    <s v="Plicuri imprimate personalizate (uz protocol)"/>
    <x v="4"/>
    <x v="1"/>
    <n v="23530"/>
    <x v="0"/>
    <x v="2"/>
    <n v="22"/>
  </r>
  <r>
    <n v="348"/>
    <s v="Mape protocol personalizate (uz protocol)"/>
    <x v="4"/>
    <x v="1"/>
    <n v="4800"/>
    <x v="0"/>
    <x v="2"/>
    <n v="22"/>
  </r>
  <r>
    <n v="349"/>
    <s v="Furnizare produse de promovare turistică personalizate din categoria suvenir"/>
    <x v="4"/>
    <x v="1"/>
    <n v="269260"/>
    <x v="0"/>
    <x v="3"/>
    <n v="23"/>
  </r>
  <r>
    <n v="350"/>
    <s v="Licențe software"/>
    <x v="5"/>
    <x v="1"/>
    <n v="500000"/>
    <x v="0"/>
    <x v="0"/>
    <n v="10"/>
  </r>
  <r>
    <n v="351"/>
    <s v="Pachete software ca serviciu pentru creare de documente și productivitate"/>
    <x v="5"/>
    <x v="1"/>
    <n v="150000"/>
    <x v="0"/>
    <x v="0"/>
    <n v="10"/>
  </r>
  <r>
    <n v="352"/>
    <s v="Pachete software pentru crearea de documente"/>
    <x v="5"/>
    <x v="1"/>
    <n v="350000"/>
    <x v="0"/>
    <x v="0"/>
    <n v="10"/>
  </r>
  <r>
    <n v="353"/>
    <s v="Licențe Software Ticketing și control acces spectatori, pentru turnicheți aflați la incinta Stadionului Arena Națională"/>
    <x v="5"/>
    <x v="1"/>
    <n v="326221.99"/>
    <x v="0"/>
    <x v="4"/>
    <n v="3"/>
  </r>
  <r>
    <n v="355"/>
    <s v="Servicii RSVTI"/>
    <x v="6"/>
    <x v="2"/>
    <n v="9200"/>
    <x v="0"/>
    <x v="0"/>
    <n v="10"/>
  </r>
  <r>
    <n v="356"/>
    <s v="Servicii de mentenanță preventivă și corectivă pentru instalații HVAC și sanitare (CMISU)"/>
    <x v="6"/>
    <x v="2"/>
    <n v="142361"/>
    <x v="0"/>
    <x v="1"/>
    <n v="9"/>
  </r>
  <r>
    <n v="357"/>
    <s v="Servicii de reparare și de întreținere la instalațiile de ventilație și climatizare"/>
    <x v="6"/>
    <x v="2"/>
    <n v="100000"/>
    <x v="0"/>
    <x v="0"/>
    <n v="10"/>
  </r>
  <r>
    <n v="358"/>
    <s v="Servicii de mentenanță corectivă pentru video wall (CMISU)"/>
    <x v="6"/>
    <x v="2"/>
    <n v="5000"/>
    <x v="0"/>
    <x v="1"/>
    <n v="9"/>
  </r>
  <r>
    <n v="361"/>
    <s v="Servicii de reparare și de întreținere a grupurilor de refrigerare (Chillere)"/>
    <x v="6"/>
    <x v="2"/>
    <n v="202000"/>
    <x v="0"/>
    <x v="0"/>
    <n v="10"/>
  </r>
  <r>
    <n v="362"/>
    <s v="Servicii de mentenanță preventivă corectivă, exploatare curentă și operare la evenimente a sistemelor video din cadrul stadionului Arena Națională"/>
    <x v="6"/>
    <x v="2"/>
    <n v="582095.75"/>
    <x v="0"/>
    <x v="4"/>
    <n v="3"/>
  </r>
  <r>
    <n v="364"/>
    <s v="Servicii hoteliere aferente cursurilor de formare/perfecționare profesională"/>
    <x v="7"/>
    <x v="2"/>
    <n v="182339.44"/>
    <x v="0"/>
    <x v="5"/>
    <n v="14"/>
  </r>
  <r>
    <n v="365"/>
    <s v="Servicii hoteliere (cazare pentru delegațiile din străinătate ce vin la București)"/>
    <x v="7"/>
    <x v="2"/>
    <n v="200000"/>
    <x v="0"/>
    <x v="2"/>
    <n v="22"/>
  </r>
  <r>
    <n v="366"/>
    <s v="Servicii de cazare la hotel (pentru deplasările în străinătate)"/>
    <x v="7"/>
    <x v="2"/>
    <n v="200000"/>
    <x v="0"/>
    <x v="2"/>
    <n v="22"/>
  </r>
  <r>
    <n v="367"/>
    <s v="Servicii de catering"/>
    <x v="7"/>
    <x v="2"/>
    <n v="198500"/>
    <x v="0"/>
    <x v="2"/>
    <n v="22"/>
  </r>
  <r>
    <n v="368"/>
    <s v="Servicii de asigurare auto obligatorie RCA pentru autoturisme din parcul auto al PMB"/>
    <x v="8"/>
    <x v="2"/>
    <n v="250000"/>
    <x v="0"/>
    <x v="0"/>
    <n v="10"/>
  </r>
  <r>
    <n v="369"/>
    <s v="Servicii de asigurare facultativă CASCO pentru autoturisme din parcul auto al PMB"/>
    <x v="8"/>
    <x v="2"/>
    <n v="420000"/>
    <x v="0"/>
    <x v="0"/>
    <n v="10"/>
  </r>
  <r>
    <n v="370"/>
    <s v="Servicii de asigurare auto obligatorie RCA pentru autoturismele din parcul auto PMB"/>
    <x v="8"/>
    <x v="2"/>
    <n v="350000"/>
    <x v="0"/>
    <x v="0"/>
    <n v="10"/>
  </r>
  <r>
    <n v="371"/>
    <s v="Servicii de asigurare (RCA, CASCO, etc) - prime de asigurare non via (RCA, CASCO, etc.)"/>
    <x v="8"/>
    <x v="2"/>
    <n v="31779"/>
    <x v="0"/>
    <x v="1"/>
    <n v="9"/>
  </r>
  <r>
    <n v="374"/>
    <s v="Servicii de consultanță, diriginție de șantier și SSM pentru obiectivul &quot;Redimensionarea rețelelor publice de apă potabilă și canalizare pe străzile CUTITUL DE ARGINT, ISTRATI CONSTANTIN, sector 4, București&quot;"/>
    <x v="8"/>
    <x v="2"/>
    <n v="588000"/>
    <x v="0"/>
    <x v="6"/>
    <n v="7"/>
  </r>
  <r>
    <n v="375"/>
    <s v="Servicii de consultanţă pentru realizarea unui sistem de analizăa îndeplinirii obiectivelor şi ţintelor pentru gestionareadeşeurilor şi pentru serviciul public de salubrizare"/>
    <x v="9"/>
    <x v="2"/>
    <n v="126051"/>
    <x v="0"/>
    <x v="6"/>
    <n v="7"/>
  </r>
  <r>
    <n v="376"/>
    <s v="Consultanță pentru verificarea și confirmarea documentelor justificative aferente activității de monitorizare și urmărire post închidere a Celulelor C1-C5 transmise de S.C. IRIDEX GROUP SRL cât și stabilirea tarifului pentru anul 2024"/>
    <x v="9"/>
    <x v="3"/>
    <n v="190000"/>
    <x v="0"/>
    <x v="6"/>
    <n v="7"/>
  </r>
  <r>
    <n v="378"/>
    <s v="Sistem informatic integrat pentru componenta gestiunea resurselor umane ale PMB"/>
    <x v="10"/>
    <x v="2"/>
    <n v="270000"/>
    <x v="1"/>
    <x v="0"/>
    <n v="10"/>
  </r>
  <r>
    <n v="379"/>
    <s v="Servicii de digitalizare a arhivei Comisiei Tehnice de Circulație (CTC) a Municipiului București"/>
    <x v="10"/>
    <x v="2"/>
    <n v="285000"/>
    <x v="0"/>
    <x v="7"/>
    <n v="17"/>
  </r>
  <r>
    <n v="381"/>
    <s v="Realizarea Complexului multifuncțional destinat mobilității urbane în spațiul din strada Meșterul Manole, nr. 19-Depou Victoria S.P. cu elemente specifice din DALI"/>
    <x v="11"/>
    <x v="2"/>
    <n v="270000"/>
    <x v="0"/>
    <x v="7"/>
    <n v="17"/>
  </r>
  <r>
    <n v="382"/>
    <s v="Studiu parcare redefinire strategie parcare"/>
    <x v="11"/>
    <x v="2"/>
    <n v="270000"/>
    <x v="0"/>
    <x v="7"/>
    <n v="17"/>
  </r>
  <r>
    <n v="383"/>
    <s v="Servicii pentru întocmirea documentației necesare pentru reconfigurare sală parter în dispeceratul integrat CMISU"/>
    <x v="11"/>
    <x v="2"/>
    <n v="129300"/>
    <x v="0"/>
    <x v="1"/>
    <n v="9"/>
  </r>
  <r>
    <n v="386"/>
    <s v="Servicii de conștientizare și informare a populației în domeniul gestionării deșeurilor"/>
    <x v="12"/>
    <x v="2"/>
    <n v="588235"/>
    <x v="0"/>
    <x v="6"/>
    <n v="7"/>
  </r>
  <r>
    <n v="387"/>
    <s v="Servicii de publicitate Anunțuri în Monitorul Oficial al României Partea a VI-a"/>
    <x v="12"/>
    <x v="2"/>
    <n v="645.41999999999996"/>
    <x v="0"/>
    <x v="8"/>
    <n v="11"/>
  </r>
  <r>
    <n v="388"/>
    <s v="Servicii de publicitate Anunțuri de presă urmare publicitate"/>
    <x v="12"/>
    <x v="2"/>
    <n v="2712.15"/>
    <x v="0"/>
    <x v="8"/>
    <n v="11"/>
  </r>
  <r>
    <n v="389"/>
    <s v="Producție de filme de informare"/>
    <x v="12"/>
    <x v="2"/>
    <n v="146000"/>
    <x v="0"/>
    <x v="9"/>
    <n v="20"/>
  </r>
  <r>
    <n v="390"/>
    <s v="Proiectare grafică"/>
    <x v="12"/>
    <x v="2"/>
    <n v="93130"/>
    <x v="0"/>
    <x v="9"/>
    <n v="20"/>
  </r>
  <r>
    <n v="391"/>
    <s v="Servicii de publicare în 2 publicații economice și/sau financiare de largă răspândire, a anunțului privind selecția în vederea numirii membrilor în Consiliul de Administrație de la nivelul societății pe acțiuni Compania Municipală Imobiliară București S.A"/>
    <x v="12"/>
    <x v="2"/>
    <n v="3000"/>
    <x v="0"/>
    <x v="10"/>
    <n v="19"/>
  </r>
  <r>
    <n v="392"/>
    <s v="Servicii de publicare în 2 publicații economice și/sau financiare de largă răspândire, a anunțului privind selecția în vederea numirii membrilor în Consiliul de Administrație de la nivelul societății pe acțiuni Societatea de Transport București STB S.A"/>
    <x v="12"/>
    <x v="2"/>
    <n v="3000"/>
    <x v="0"/>
    <x v="10"/>
    <n v="19"/>
  </r>
  <r>
    <n v="393"/>
    <s v="Servicii de publicare în 2 publicații economice și/sau financiare de largă răspândire, a anunțului privind selecția în vederea numirii membrilor în Consiliul de Administrație de la nivelul societății pe acțiuni Centrul de Sănătate STB S.A"/>
    <x v="12"/>
    <x v="2"/>
    <n v="3000"/>
    <x v="0"/>
    <x v="10"/>
    <n v="19"/>
  </r>
  <r>
    <n v="394"/>
    <s v="Servicii de publicare în 2 publicații economice și/sau financiare de largă răspândire, a anunțului privind selecția în vederea numirii membrilor în Consiliul de Administrație de la nivelul societății pe acțiuni Compania Municipală Eco Igienizare București S.A"/>
    <x v="12"/>
    <x v="2"/>
    <n v="3000"/>
    <x v="0"/>
    <x v="10"/>
    <n v="19"/>
  </r>
  <r>
    <n v="395"/>
    <s v="Servicii de publicare în 2 publicații economice și/sau financiare de largă răspândire, a anunțului privind selecția în vederea numirii membrilor în Consiliul de Administrație de la nivelul societății pe acțiuni Compania Municipală Energetica Servicii București S.A."/>
    <x v="12"/>
    <x v="2"/>
    <n v="3000"/>
    <x v="0"/>
    <x v="10"/>
    <n v="19"/>
  </r>
  <r>
    <n v="396"/>
    <s v="Servicii de publicare în 2 publicații economice și/sau financiare de largă răspândire, a anunțului privind selecția în vederea numirii membrilor în Consiliul de Administrație de la nivelul societății pe acțiuni Compania Municipală Managementul Traficului București S.A"/>
    <x v="12"/>
    <x v="2"/>
    <n v="3000"/>
    <x v="0"/>
    <x v="10"/>
    <n v="19"/>
  </r>
  <r>
    <n v="397"/>
    <s v="Servicii de publicare în 2 publicații economice și/sau financiare de largă răspândire, a anunțului privind selecția în vederea numirii membrilor în Consiliul de Administrație de la nivelul societății pe acțiuni Trustul de Clădiri Metropolitane București S.A"/>
    <x v="12"/>
    <x v="2"/>
    <n v="3000"/>
    <x v="0"/>
    <x v="10"/>
    <n v="19"/>
  </r>
  <r>
    <n v="398"/>
    <s v="Servicii de publicare în 2 publicații economice și/sau financiare de largă răspândire, a anunțului privind selecția în vederea numirii membrilor în Consiliul de Administrație de la nivelul societății pe acțiuni Service Ciclop S.A"/>
    <x v="12"/>
    <x v="2"/>
    <n v="3000"/>
    <x v="0"/>
    <x v="10"/>
    <n v="19"/>
  </r>
  <r>
    <n v="399"/>
    <s v="Servicii de publicare în 2 publicații economice și/sau financiare de largă răspândire, a anunțului privind selecția în vederea numirii membrilor în Consiliul de Administrație de la nivelul societății Compania Municipală Iluminat Public București S.R.L"/>
    <x v="12"/>
    <x v="2"/>
    <n v="3000"/>
    <x v="0"/>
    <x v="10"/>
    <n v="19"/>
  </r>
  <r>
    <n v="400"/>
    <s v="Servicii de publicare în 2 publicații economice și/sau financiare de largă răspândire, a anunțului privind selecția în vederea numirii membrilor în Consiliul de Administrație de la nivelul societății pe acțiuni Compania Municipală Parking București S.A"/>
    <x v="12"/>
    <x v="2"/>
    <n v="3000"/>
    <x v="0"/>
    <x v="10"/>
    <n v="19"/>
  </r>
  <r>
    <n v="401"/>
    <s v="Servicii de publicare în cel puțin o platformă sau site de recrutare resurse umane cu mare vizibilitate la nivel național, a anunțului privind selecția în vederea numirii membrilor în Consiliul de Administrație de la nivelul societății Compania Municipală Iluminat Public București S.R.L"/>
    <x v="12"/>
    <x v="2"/>
    <n v="2000"/>
    <x v="0"/>
    <x v="10"/>
    <n v="19"/>
  </r>
  <r>
    <n v="402"/>
    <s v="Servicii de publicare în cel puțin o platformă sau site de recrutare resurse umane cu mare vizibilitate la nivel național, a anunțului privind selecția în vederea numirii membrilor în Consiliul de Administrație de la nivelul societății pe acțiuni Centrul de Sănătate STB S.A"/>
    <x v="12"/>
    <x v="2"/>
    <n v="2000"/>
    <x v="0"/>
    <x v="10"/>
    <n v="19"/>
  </r>
  <r>
    <n v="403"/>
    <s v="Servicii de publicare în cel puțin o platformă sau site de recrutare resurse umane cu mare vizibilitate la nivel național, a anunțului privind selecția în vederea numirii membrilor în Consiliul de Administrație de la nivelul societății pe acțiuni Trustul de Clădiri Metropolitane București S.A."/>
    <x v="12"/>
    <x v="2"/>
    <n v="2000"/>
    <x v="0"/>
    <x v="10"/>
    <n v="19"/>
  </r>
  <r>
    <n v="404"/>
    <s v="Servicii de publicare în cel puțin o platformă sau site de recrutare resurse umane cu mare vizibilitate la nivel național, a anunțului privind selecția în vederea numirii membrilor în Consiliul de Administrație de la nivelul societății pe acțiuni Compania Municipală Energetica Servicii București S.A"/>
    <x v="12"/>
    <x v="2"/>
    <n v="2000"/>
    <x v="0"/>
    <x v="10"/>
    <n v="19"/>
  </r>
  <r>
    <n v="405"/>
    <s v="Servicii de publicare în cel puțin o platformă sau site de recrutare resurse umane cu mare vizibilitate la nivel național, a anunțului privind selecția în vederea numirii membrilor în Consiliul de Administrație de la nivelul societății pe acțiuni Compania Municipală Managementul Traficului București S.A"/>
    <x v="12"/>
    <x v="2"/>
    <n v="2000"/>
    <x v="0"/>
    <x v="10"/>
    <n v="19"/>
  </r>
  <r>
    <n v="406"/>
    <s v="Servicii de publicare în cel puțin o platformă sau site de recrutare resurse umane cu mare vizibilitate la nivel național, a anunțului privind selecția în vederea numirii membrilor în Consiliul de Administrație de la nivelul societății pe acțiuni Compania Municipală Eco Igienizare București S.A"/>
    <x v="12"/>
    <x v="2"/>
    <n v="2000"/>
    <x v="0"/>
    <x v="10"/>
    <n v="19"/>
  </r>
  <r>
    <n v="407"/>
    <s v="Servicii de publicare în cel puțin o platformă sau site de recrutare resurse umane cu mare vizibilitate la nivel național, a anunțului privind selecția în vederea numirii membrilor în Consiliul de Administrație de la nivelul societății pe acțiuni Compania Municipală Imobiliară București S.A"/>
    <x v="12"/>
    <x v="2"/>
    <n v="2000"/>
    <x v="0"/>
    <x v="10"/>
    <n v="19"/>
  </r>
  <r>
    <n v="408"/>
    <s v="Servicii de publicare în cel puțin o platformă sau site de recrutare resurse umane cu mare vizibilitate la nivel național, a anunțului privind selecția în vederea numirii membrilor în Consiliul de Administrație de la nivelul societății pe acțiuni Service Ciclop S.A"/>
    <x v="12"/>
    <x v="2"/>
    <n v="2000"/>
    <x v="0"/>
    <x v="10"/>
    <n v="19"/>
  </r>
  <r>
    <n v="409"/>
    <s v="Servicii de publicare în cel puțin o platformă sau site de recrutare resurse umane cu mare vizibilitate la nivel național, a anunțului privind selecția în vederea numirii membrilor în Consiliul de Administrație de la nivelul societății pe acțiuni Societatea de Transport București STB S.A"/>
    <x v="12"/>
    <x v="2"/>
    <n v="2000"/>
    <x v="0"/>
    <x v="10"/>
    <n v="19"/>
  </r>
  <r>
    <n v="410"/>
    <s v="Servicii de publicare în cel puțin o platformă sau site de recrutare resurse umane cu mare vizibilitate la nivel național, a anunțului privind selecția în vederea numirii membrilor în Consiliul de Administrație de la nivelul societății pe acțiuni Compania Municipală Parking București S.A"/>
    <x v="12"/>
    <x v="2"/>
    <n v="2000"/>
    <x v="0"/>
    <x v="10"/>
    <n v="19"/>
  </r>
  <r>
    <n v="411"/>
    <s v="Achiziția de servicii de producție de filme de informare pentru promovarea turistică a orașului București"/>
    <x v="12"/>
    <x v="2"/>
    <n v="142000"/>
    <x v="0"/>
    <x v="3"/>
    <n v="23"/>
  </r>
  <r>
    <n v="412"/>
    <s v="Servicii de publicare în Monitorul Oficial pentru Programul anual pentru acordarea finanțării nerambursabile, în conformitate cu prevederile Legii nr.350/2005, a anunțurilor de participare/atribuire, a raportului cu privire la contractele de finanțare nerambursabilă încheiate în cursul anului fiscal, care va cuprinde programele finanțate, beneficiarii și rezultatele contractului"/>
    <x v="12"/>
    <x v="2"/>
    <n v="1200"/>
    <x v="0"/>
    <x v="11"/>
    <n v="21"/>
  </r>
  <r>
    <n v="413"/>
    <s v="Servicii de publicare juridică pentru înscriere acord pentru constituirea unei garanții asupra veniturilor proprii ale constituitorului și ipotecă mobiliară asupra conturilor în Registrul Național de Publicitate Mobiliară (R.N.P.M.)"/>
    <x v="12"/>
    <x v="2"/>
    <n v="450"/>
    <x v="0"/>
    <x v="12"/>
    <n v="4"/>
  </r>
  <r>
    <n v="414"/>
    <s v="Servicii de publicare în 2 ziare locale sau unul central pentru Programul anual privind acordarea finanțării nerambursabile de la bugetul local al Municipiului București, pentru activități nonprofit de interes local, conform prevederilor Legii nr. 350/2005, pentru domeniul Protecția mediului înconjurător și Protecția animalelor, aprobat prin H.C.G.M.B. nr. 109/31.07.2024"/>
    <x v="12"/>
    <x v="2"/>
    <n v="1500"/>
    <x v="0"/>
    <x v="11"/>
    <n v="21"/>
  </r>
  <r>
    <n v="415"/>
    <s v="Servicii pentru evenimente"/>
    <x v="12"/>
    <x v="2"/>
    <n v="200000"/>
    <x v="0"/>
    <x v="2"/>
    <n v="22"/>
  </r>
  <r>
    <n v="416"/>
    <s v="Servicii de formare/perfecționare profesională"/>
    <x v="13"/>
    <x v="2"/>
    <n v="84033.61"/>
    <x v="0"/>
    <x v="5"/>
    <n v="14"/>
  </r>
  <r>
    <n v="417"/>
    <s v="Curs specific de arboricultură în vederea perfecționării și actualizării cunoștințelor personalului din cadrul Direcției de Mediu"/>
    <x v="13"/>
    <x v="2"/>
    <n v="39200"/>
    <x v="0"/>
    <x v="13"/>
    <n v="12"/>
  </r>
  <r>
    <n v="419"/>
    <s v="Servicii de medicină muncii"/>
    <x v="13"/>
    <x v="2"/>
    <n v="92000"/>
    <x v="0"/>
    <x v="14"/>
    <n v="25"/>
  </r>
  <r>
    <n v="421"/>
    <s v="Serviciu de închiriere igienizare toaletă ecologică"/>
    <x v="14"/>
    <x v="2"/>
    <n v="4800"/>
    <x v="0"/>
    <x v="1"/>
    <n v="9"/>
  </r>
  <r>
    <n v="422"/>
    <s v="Servicii de salubrizare"/>
    <x v="15"/>
    <x v="2"/>
    <n v="47680"/>
    <x v="0"/>
    <x v="1"/>
    <n v="9"/>
  </r>
  <r>
    <n v="424"/>
    <s v="Serviciul de ridicare deșeuri în sediile PMB administrate de Direcția Administrativă"/>
    <x v="15"/>
    <x v="2"/>
    <n v="200000"/>
    <x v="0"/>
    <x v="0"/>
    <n v="10"/>
  </r>
  <r>
    <n v="427"/>
    <s v="Servicii de curățenie pentru obiective de protecție civilă"/>
    <x v="16"/>
    <x v="2"/>
    <n v="357167.33"/>
    <x v="0"/>
    <x v="1"/>
    <n v="9"/>
  </r>
  <r>
    <n v="428"/>
    <s v="Servicii de dezinsecție și deratizare pentru obiective de protecție civilă și CMZB"/>
    <x v="16"/>
    <x v="2"/>
    <n v="128000"/>
    <x v="0"/>
    <x v="1"/>
    <n v="9"/>
  </r>
  <r>
    <n v="430"/>
    <s v="Servicii de curățenie interioară, exterioară PARK&amp;RIDE parcare supraterană terminal STB intersecție Șoseaua Pantelimon-Șoseaua Vergului/Dudești, București, sector 2 pentru anul 2025"/>
    <x v="16"/>
    <x v="2"/>
    <n v="693660"/>
    <x v="0"/>
    <x v="4"/>
    <n v="3"/>
  </r>
  <r>
    <n v="431"/>
    <s v="Servicii de curățenie a spațiilor administrate de Municipiul București prin Direcția Administrativă"/>
    <x v="16"/>
    <x v="2"/>
    <n v="289509.37"/>
    <x v="0"/>
    <x v="0"/>
    <n v="10"/>
  </r>
  <r>
    <n v="432"/>
    <s v="Servicii de dezinsecție în sediile PMB administrate de Direcția Administrativă"/>
    <x v="16"/>
    <x v="2"/>
    <n v="90000"/>
    <x v="0"/>
    <x v="0"/>
    <n v="10"/>
  </r>
  <r>
    <n v="433"/>
    <s v="Serviciu de dezinsecție deratizare"/>
    <x v="16"/>
    <x v="2"/>
    <n v="4839"/>
    <x v="0"/>
    <x v="1"/>
    <n v="9"/>
  </r>
  <r>
    <n v="435"/>
    <s v="Monitorizare și analiză de presă"/>
    <x v="16"/>
    <x v="2"/>
    <n v="111100"/>
    <x v="0"/>
    <x v="9"/>
    <n v="20"/>
  </r>
  <r>
    <n v="443"/>
    <s v="Servicii de mentenanță, asistență tehnică și actualizare software pentru Sistemul Informatic Financiar-Contabil integrat &quot;expert bugetar&quot;"/>
    <x v="17"/>
    <x v="2"/>
    <n v="162000"/>
    <x v="0"/>
    <x v="15"/>
    <n v="2"/>
  </r>
  <r>
    <n v="444"/>
    <s v="Servicii de asistență tehnică permanentă pentru asigurarea funcționării rețelei de senzori pentru monitorizarea calității aerului ambiental"/>
    <x v="18"/>
    <x v="2"/>
    <n v="198000"/>
    <x v="0"/>
    <x v="13"/>
    <n v="12"/>
  </r>
  <r>
    <n v="445"/>
    <s v="Servicii de asistență tehnică permanentă pentru asigurarea funcționării autolaboratorului pentru analiza calității aerului ambiental"/>
    <x v="18"/>
    <x v="2"/>
    <n v="265000"/>
    <x v="0"/>
    <x v="13"/>
    <n v="12"/>
  </r>
  <r>
    <n v="446"/>
    <s v="Servicii de depozitare și registru necesare vânzării, admiterii și menținerii la tranzacționare a emisiunii de obligațiuni municipale programate în luna aprilie 2025, cu maturitate de 10 ani"/>
    <x v="19"/>
    <x v="2"/>
    <n v="25890"/>
    <x v="2"/>
    <x v="12"/>
    <n v="4"/>
  </r>
  <r>
    <n v="447"/>
    <s v="Servicii bancare de conturi curente (un cont în lei și un cont de EURO) necesare derulării contractului de finanțare rambursabilă FI No 96.760 din 31.12.2024/08.01.2025/Serapis No 2023-0374 încheiat cu Banca Europeană de Investiții (BEI)"/>
    <x v="20"/>
    <x v="2"/>
    <n v="9789"/>
    <x v="2"/>
    <x v="12"/>
    <n v="4"/>
  </r>
  <r>
    <n v="448"/>
    <s v="Servicii de mentenanță și întreținere pentru ansamblul format din sistem informare (tabelă electronică) și sistem electromecanic special acoperiș retractabil/videocub, prelată și servicii asociate pentru obiectivul Arena Națională"/>
    <x v="17"/>
    <x v="2"/>
    <n v="463484.12"/>
    <x v="0"/>
    <x v="4"/>
    <n v="3"/>
  </r>
  <r>
    <n v="449"/>
    <s v="Servicii de consultanță pentru elaborarea Strategiei de marketing pentru municipiul București în domeniul turismului (2026-2030)"/>
    <x v="17"/>
    <x v="2"/>
    <n v="418122"/>
    <x v="0"/>
    <x v="3"/>
    <n v="23"/>
  </r>
  <r>
    <n v="450"/>
    <s v="Servicii pentru organizarea unui stand de promovare în cadrul evenimentului &quot;Neversea Kapital&quot;, pe Arena Națională în perioada 04-06.07.2025"/>
    <x v="17"/>
    <x v="2"/>
    <n v="95366.2"/>
    <x v="0"/>
    <x v="12"/>
    <n v="4"/>
  </r>
  <r>
    <n v="454"/>
    <s v="P.U.Z Drum radial 9"/>
    <x v="21"/>
    <x v="2"/>
    <n v="560944"/>
    <x v="1"/>
    <x v="16"/>
    <n v="5"/>
  </r>
  <r>
    <n v="455"/>
    <s v="P.U.Z Drum radial 10"/>
    <x v="21"/>
    <x v="2"/>
    <n v="442909"/>
    <x v="1"/>
    <x v="16"/>
    <n v="5"/>
  </r>
  <r>
    <n v="456"/>
    <s v="Asistență tehnică pentru management energetic, elaborarea Programului de îmbunătățire a Eficienței Energetice (PIEE) în Municipiul București"/>
    <x v="21"/>
    <x v="2"/>
    <n v="680000"/>
    <x v="1"/>
    <x v="6"/>
    <n v="7"/>
  </r>
  <r>
    <n v="458"/>
    <s v="Transmisie de date mobile"/>
    <x v="21"/>
    <x v="3"/>
    <n v="189917.76"/>
    <x v="0"/>
    <x v="0"/>
    <n v="10"/>
  </r>
  <r>
    <n v="460"/>
    <s v="Serviciul de ridicare a deșeurilor de la sediile Primăriei Municipiului București administrate prin Direcția Administrativă - pentru anul 2026"/>
    <x v="21"/>
    <x v="2"/>
    <n v="223000"/>
    <x v="0"/>
    <x v="0"/>
    <n v="10"/>
  </r>
  <r>
    <n v="465"/>
    <s v="Aranjamente florale"/>
    <x v="22"/>
    <x v="4"/>
    <n v="62316"/>
    <x v="0"/>
    <x v="2"/>
    <n v="22"/>
  </r>
  <r>
    <n v="466"/>
    <s v="Apă minerală îmbuteliată în sticle de 0,5 litri"/>
    <x v="22"/>
    <x v="4"/>
    <n v="70000"/>
    <x v="0"/>
    <x v="0"/>
    <n v="10"/>
  </r>
  <r>
    <n v="467"/>
    <s v="Materiale-suport pentru prevenirea situațiilor de urgență (cărți, publicații, materiale documentare)"/>
    <x v="22"/>
    <x v="4"/>
    <n v="84400"/>
    <x v="0"/>
    <x v="1"/>
    <n v="9"/>
  </r>
  <r>
    <n v="468"/>
    <s v="Cărți tipărite (uz protocol)"/>
    <x v="22"/>
    <x v="4"/>
    <n v="7500"/>
    <x v="0"/>
    <x v="2"/>
    <n v="22"/>
  </r>
  <r>
    <n v="469"/>
    <s v="Cărți, broșuri și pliante tipărite (uz protocol)"/>
    <x v="22"/>
    <x v="4"/>
    <n v="2470"/>
    <x v="0"/>
    <x v="2"/>
    <n v="22"/>
  </r>
  <r>
    <n v="470"/>
    <s v="Tonere pentru fotocopiatoare"/>
    <x v="22"/>
    <x v="4"/>
    <n v="35000"/>
    <x v="0"/>
    <x v="0"/>
    <n v="10"/>
  </r>
  <r>
    <n v="471"/>
    <s v="Achiziție etichete autocolante pentru rețeaua de senzori a Primăriei Municipiului București"/>
    <x v="22"/>
    <x v="4"/>
    <n v="300"/>
    <x v="0"/>
    <x v="13"/>
    <n v="12"/>
  </r>
  <r>
    <n v="472"/>
    <s v="Consumabile electrice"/>
    <x v="22"/>
    <x v="4"/>
    <n v="22900"/>
    <x v="0"/>
    <x v="1"/>
    <n v="9"/>
  </r>
  <r>
    <n v="473"/>
    <s v="Cabluri și accesorii de cablare"/>
    <x v="22"/>
    <x v="4"/>
    <n v="34000"/>
    <x v="0"/>
    <x v="0"/>
    <n v="10"/>
  </r>
  <r>
    <n v="474"/>
    <s v="Furnizare și instalare casetă luminoasă pentru sediul Centrului de Informare, Documentare și Relații cu Cetățenii situat în Bd. Regina Elisabeta nr. 42"/>
    <x v="22"/>
    <x v="4"/>
    <n v="25000"/>
    <x v="0"/>
    <x v="17"/>
    <n v="6"/>
  </r>
  <r>
    <n v="475"/>
    <s v="Echipament inspecție video pentru instalații sanitare"/>
    <x v="22"/>
    <x v="4"/>
    <n v="16100"/>
    <x v="1"/>
    <x v="1"/>
    <n v="9"/>
  </r>
  <r>
    <n v="476"/>
    <s v="Accesorii audio video"/>
    <x v="22"/>
    <x v="4"/>
    <n v="15000"/>
    <x v="0"/>
    <x v="0"/>
    <n v="10"/>
  </r>
  <r>
    <n v="477"/>
    <s v="Furnizare și instalare 3 monitoare informare cetățeni pentru sediul Centrului de Informare, Documentare și Relații cu Cetățenii situat în Bd. Regina Elisabeta nr. 42"/>
    <x v="22"/>
    <x v="4"/>
    <n v="30000"/>
    <x v="0"/>
    <x v="17"/>
    <n v="6"/>
  </r>
  <r>
    <n v="478"/>
    <s v="Anvelope"/>
    <x v="22"/>
    <x v="4"/>
    <n v="100000"/>
    <x v="0"/>
    <x v="0"/>
    <n v="10"/>
  </r>
  <r>
    <n v="479"/>
    <s v="Oglinzi de siguranță convexe"/>
    <x v="22"/>
    <x v="4"/>
    <n v="2000"/>
    <x v="0"/>
    <x v="1"/>
    <n v="9"/>
  </r>
  <r>
    <n v="480"/>
    <s v="Furnizare și instalare sistem electronic de dirijare și ordonare a cetățenilor (sistem cu bonuri de ordine) pentru sediul Centrului de Informare, Documentare și Relații cu Cetățenii situat în Bd. Regina Elisabeta nr. 42."/>
    <x v="22"/>
    <x v="4"/>
    <n v="65000"/>
    <x v="1"/>
    <x v="17"/>
    <n v="6"/>
  </r>
  <r>
    <n v="481"/>
    <s v="Echipamente/ecrane de protecție pentru vânt pentru sonometrele aflate în dotarea Direcției de Mediu"/>
    <x v="22"/>
    <x v="4"/>
    <n v="3682.35"/>
    <x v="0"/>
    <x v="13"/>
    <n v="12"/>
  </r>
  <r>
    <n v="482"/>
    <s v="Produse de protocol"/>
    <x v="22"/>
    <x v="4"/>
    <n v="60000"/>
    <x v="0"/>
    <x v="2"/>
    <n v="22"/>
  </r>
  <r>
    <n v="483"/>
    <s v="Frigidere"/>
    <x v="22"/>
    <x v="4"/>
    <n v="12500"/>
    <x v="0"/>
    <x v="0"/>
    <n v="10"/>
  </r>
  <r>
    <n v="484"/>
    <s v="Aparate mobile aer condiționat"/>
    <x v="22"/>
    <x v="4"/>
    <n v="8400"/>
    <x v="0"/>
    <x v="0"/>
    <n v="10"/>
  </r>
  <r>
    <n v="485"/>
    <s v="Produse de curățat și lustruit"/>
    <x v="22"/>
    <x v="4"/>
    <n v="6500"/>
    <x v="0"/>
    <x v="0"/>
    <n v="10"/>
  </r>
  <r>
    <n v="486"/>
    <s v="Consumabile auto"/>
    <x v="22"/>
    <x v="4"/>
    <n v="15000"/>
    <x v="0"/>
    <x v="0"/>
    <n v="10"/>
  </r>
  <r>
    <n v="487"/>
    <s v="Ventiloconvectoare"/>
    <x v="22"/>
    <x v="4"/>
    <n v="13200"/>
    <x v="0"/>
    <x v="0"/>
    <n v="10"/>
  </r>
  <r>
    <n v="488"/>
    <s v="Scule electrice"/>
    <x v="22"/>
    <x v="4"/>
    <n v="23102.27"/>
    <x v="0"/>
    <x v="1"/>
    <n v="9"/>
  </r>
  <r>
    <n v="489"/>
    <s v="Refacere pardoseală CMISU"/>
    <x v="22"/>
    <x v="4"/>
    <n v="259397.68"/>
    <x v="0"/>
    <x v="1"/>
    <n v="9"/>
  </r>
  <r>
    <n v="490"/>
    <s v="Articole sanitare"/>
    <x v="22"/>
    <x v="4"/>
    <n v="46417.64"/>
    <x v="0"/>
    <x v="1"/>
    <n v="9"/>
  </r>
  <r>
    <n v="491"/>
    <s v="Articole sanitare"/>
    <x v="22"/>
    <x v="4"/>
    <n v="15000"/>
    <x v="0"/>
    <x v="0"/>
    <n v="10"/>
  </r>
  <r>
    <n v="492"/>
    <s v="Scule manuale"/>
    <x v="22"/>
    <x v="4"/>
    <n v="21563"/>
    <x v="0"/>
    <x v="1"/>
    <n v="9"/>
  </r>
  <r>
    <n v="493"/>
    <s v="Ștampile"/>
    <x v="22"/>
    <x v="4"/>
    <n v="15000"/>
    <x v="0"/>
    <x v="0"/>
    <n v="10"/>
  </r>
  <r>
    <n v="494"/>
    <s v="Articole sanitare (baterii lavoar baie)"/>
    <x v="22"/>
    <x v="4"/>
    <n v="2420"/>
    <x v="0"/>
    <x v="0"/>
    <n v="10"/>
  </r>
  <r>
    <n v="495"/>
    <s v="Imprimate la comandă (fișe de instruire SSM)"/>
    <x v="22"/>
    <x v="4"/>
    <n v="1350"/>
    <x v="0"/>
    <x v="0"/>
    <n v="10"/>
  </r>
  <r>
    <n v="496"/>
    <s v="Coperți de dosar"/>
    <x v="22"/>
    <x v="4"/>
    <n v="46470"/>
    <x v="0"/>
    <x v="0"/>
    <n v="10"/>
  </r>
  <r>
    <n v="497"/>
    <s v="Materiale/consumabile electrice pentru Centrul Militar Zonal București"/>
    <x v="22"/>
    <x v="4"/>
    <n v="33851"/>
    <x v="0"/>
    <x v="1"/>
    <n v="9"/>
  </r>
  <r>
    <n v="498"/>
    <s v="Mașină de spălat rufe, mașină de uscat rufe și kit de suprapunere mașini de spălat-uscat pentru Centrul Militar Zonal București"/>
    <x v="22"/>
    <x v="4"/>
    <n v="4213"/>
    <x v="0"/>
    <x v="1"/>
    <n v="9"/>
  </r>
  <r>
    <n v="499"/>
    <s v="Aparatură de iluminat și lămpi electrice"/>
    <x v="22"/>
    <x v="4"/>
    <n v="2033.6"/>
    <x v="0"/>
    <x v="0"/>
    <n v="10"/>
  </r>
  <r>
    <n v="500"/>
    <s v="Materiale de tâmplărie și lăcătușărie"/>
    <x v="22"/>
    <x v="4"/>
    <n v="125000"/>
    <x v="0"/>
    <x v="0"/>
    <n v="10"/>
  </r>
  <r>
    <n v="501"/>
    <s v="Echipament de protecție și de intervenție pompieri"/>
    <x v="22"/>
    <x v="4"/>
    <n v="20000"/>
    <x v="0"/>
    <x v="0"/>
    <n v="10"/>
  </r>
  <r>
    <n v="502"/>
    <s v="Echipament individual de protecție pentru muncitori"/>
    <x v="22"/>
    <x v="4"/>
    <n v="10000"/>
    <x v="0"/>
    <x v="0"/>
    <n v="10"/>
  </r>
  <r>
    <n v="503"/>
    <s v="Birouri pentru CIDRC"/>
    <x v="22"/>
    <x v="4"/>
    <n v="20000"/>
    <x v="0"/>
    <x v="0"/>
    <n v="10"/>
  </r>
  <r>
    <n v="504"/>
    <s v="Cărucioare de birou"/>
    <x v="22"/>
    <x v="4"/>
    <n v="16000"/>
    <x v="0"/>
    <x v="0"/>
    <n v="10"/>
  </r>
  <r>
    <n v="505"/>
    <s v="Dulap LOKER"/>
    <x v="22"/>
    <x v="4"/>
    <n v="6500"/>
    <x v="0"/>
    <x v="0"/>
    <n v="10"/>
  </r>
  <r>
    <n v="506"/>
    <s v="Sisteme de arhivare"/>
    <x v="22"/>
    <x v="4"/>
    <n v="30000"/>
    <x v="0"/>
    <x v="0"/>
    <n v="10"/>
  </r>
  <r>
    <n v="507"/>
    <s v="Ghid Turistic - București"/>
    <x v="22"/>
    <x v="4"/>
    <n v="62690"/>
    <x v="0"/>
    <x v="3"/>
    <n v="23"/>
  </r>
  <r>
    <n v="508"/>
    <s v="Album - București"/>
    <x v="22"/>
    <x v="4"/>
    <n v="58025"/>
    <x v="0"/>
    <x v="3"/>
    <n v="23"/>
  </r>
  <r>
    <n v="509"/>
    <s v="Produse insecticide în vederea executării tratamentelor de dezinsecție în sediile Municipiului București administrate de Direcția Administrativă"/>
    <x v="22"/>
    <x v="4"/>
    <n v="27328"/>
    <x v="0"/>
    <x v="0"/>
    <n v="10"/>
  </r>
  <r>
    <n v="510"/>
    <s v="Filtre de aer pentru CTA"/>
    <x v="22"/>
    <x v="4"/>
    <n v="3972"/>
    <x v="0"/>
    <x v="0"/>
    <n v="10"/>
  </r>
  <r>
    <n v="511"/>
    <s v="Substanță erbicid"/>
    <x v="22"/>
    <x v="4"/>
    <n v="3200"/>
    <x v="0"/>
    <x v="1"/>
    <n v="9"/>
  </r>
  <r>
    <n v="512"/>
    <s v="Husă canapea și fotoliu"/>
    <x v="22"/>
    <x v="4"/>
    <n v="2248"/>
    <x v="0"/>
    <x v="1"/>
    <n v="9"/>
  </r>
  <r>
    <n v="513"/>
    <s v="Fișă individuală de instructaj în domeniul situațiilor de urgență cu personalizare la comandă"/>
    <x v="22"/>
    <x v="4"/>
    <n v="4900"/>
    <x v="0"/>
    <x v="1"/>
    <n v="9"/>
  </r>
  <r>
    <n v="514"/>
    <s v="Echipament de protecție"/>
    <x v="22"/>
    <x v="4"/>
    <n v="8397.0300000000007"/>
    <x v="0"/>
    <x v="1"/>
    <n v="9"/>
  </r>
  <r>
    <n v="515"/>
    <s v="Echipament tehnic"/>
    <x v="22"/>
    <x v="4"/>
    <n v="5248.61"/>
    <x v="0"/>
    <x v="1"/>
    <n v="9"/>
  </r>
  <r>
    <n v="516"/>
    <s v="Adaptor prize"/>
    <x v="22"/>
    <x v="4"/>
    <n v="8010"/>
    <x v="0"/>
    <x v="1"/>
    <n v="9"/>
  </r>
  <r>
    <n v="517"/>
    <s v="Ambalaj de unică folosință - caserolă meniu, bol supă, set tacâmuri"/>
    <x v="22"/>
    <x v="4"/>
    <n v="19360"/>
    <x v="0"/>
    <x v="1"/>
    <n v="9"/>
  </r>
  <r>
    <n v="518"/>
    <s v="Imprimante - Panglici pentru imprimante"/>
    <x v="22"/>
    <x v="4"/>
    <n v="913.05"/>
    <x v="0"/>
    <x v="0"/>
    <n v="10"/>
  </r>
  <r>
    <n v="519"/>
    <s v="Freon"/>
    <x v="22"/>
    <x v="4"/>
    <n v="31432"/>
    <x v="0"/>
    <x v="1"/>
    <n v="9"/>
  </r>
  <r>
    <n v="520"/>
    <s v="Cutii de depozitare a dosarelor"/>
    <x v="22"/>
    <x v="4"/>
    <n v="22100"/>
    <x v="0"/>
    <x v="0"/>
    <n v="10"/>
  </r>
  <r>
    <n v="521"/>
    <s v="Aparat telefon fix birou"/>
    <x v="22"/>
    <x v="4"/>
    <n v="1620"/>
    <x v="0"/>
    <x v="1"/>
    <n v="9"/>
  </r>
  <r>
    <n v="522"/>
    <s v="Telefon tip centrală secretariat intern"/>
    <x v="22"/>
    <x v="4"/>
    <n v="982"/>
    <x v="0"/>
    <x v="1"/>
    <n v="9"/>
  </r>
  <r>
    <n v="523"/>
    <s v="Aparat fax"/>
    <x v="22"/>
    <x v="4"/>
    <n v="788"/>
    <x v="0"/>
    <x v="1"/>
    <n v="9"/>
  </r>
  <r>
    <n v="524"/>
    <s v="Truse de prim ajutor"/>
    <x v="22"/>
    <x v="4"/>
    <n v="526"/>
    <x v="0"/>
    <x v="1"/>
    <n v="9"/>
  </r>
  <r>
    <n v="525"/>
    <s v="Mobilier pentru amenajarea spațiilor exterioare (bănci de exterior, mese de exterior, coșuri de gunoi de exterior)"/>
    <x v="22"/>
    <x v="4"/>
    <n v="2546"/>
    <x v="0"/>
    <x v="1"/>
    <n v="9"/>
  </r>
  <r>
    <n v="526"/>
    <s v="Aparat de fotografiat"/>
    <x v="22"/>
    <x v="4"/>
    <n v="1329"/>
    <x v="0"/>
    <x v="1"/>
    <n v="9"/>
  </r>
  <r>
    <n v="527"/>
    <s v="Rafturi metalice"/>
    <x v="22"/>
    <x v="4"/>
    <n v="2180"/>
    <x v="0"/>
    <x v="1"/>
    <n v="9"/>
  </r>
  <r>
    <n v="528"/>
    <s v="Pat cu saltea de pat"/>
    <x v="22"/>
    <x v="4"/>
    <n v="1845"/>
    <x v="0"/>
    <x v="1"/>
    <n v="9"/>
  </r>
  <r>
    <n v="529"/>
    <s v="Lenjerii de pat"/>
    <x v="22"/>
    <x v="4"/>
    <n v="1178"/>
    <x v="0"/>
    <x v="1"/>
    <n v="9"/>
  </r>
  <r>
    <n v="530"/>
    <s v="Aspirator și saci de aspirator"/>
    <x v="22"/>
    <x v="4"/>
    <n v="1449"/>
    <x v="0"/>
    <x v="1"/>
    <n v="9"/>
  </r>
  <r>
    <n v="531"/>
    <s v="Fier de călcat, masă de călcat"/>
    <x v="22"/>
    <x v="4"/>
    <n v="360"/>
    <x v="0"/>
    <x v="1"/>
    <n v="9"/>
  </r>
  <r>
    <n v="532"/>
    <s v="Dezumidificator"/>
    <x v="22"/>
    <x v="4"/>
    <n v="5234"/>
    <x v="0"/>
    <x v="1"/>
    <n v="9"/>
  </r>
  <r>
    <n v="533"/>
    <s v="Plasă de insecte la ferestre"/>
    <x v="22"/>
    <x v="4"/>
    <n v="630"/>
    <x v="0"/>
    <x v="1"/>
    <n v="9"/>
  </r>
  <r>
    <n v="534"/>
    <s v="Ușă metalică cu demontat ușa veche și montat ușa metalică"/>
    <x v="22"/>
    <x v="4"/>
    <n v="3480"/>
    <x v="0"/>
    <x v="1"/>
    <n v="9"/>
  </r>
  <r>
    <n v="535"/>
    <s v="Cutii de depozitare/arhivare și liză de manevrare"/>
    <x v="22"/>
    <x v="4"/>
    <n v="4226"/>
    <x v="0"/>
    <x v="1"/>
    <n v="9"/>
  </r>
  <r>
    <n v="536"/>
    <s v="Scară aluminiu"/>
    <x v="22"/>
    <x v="4"/>
    <n v="250"/>
    <x v="0"/>
    <x v="1"/>
    <n v="9"/>
  </r>
  <r>
    <n v="537"/>
    <s v="Indicatoare/marcaje de semnalizare, avertizare și informare"/>
    <x v="22"/>
    <x v="4"/>
    <n v="1734"/>
    <x v="0"/>
    <x v="1"/>
    <n v="9"/>
  </r>
  <r>
    <n v="538"/>
    <s v="Lăcate"/>
    <x v="22"/>
    <x v="4"/>
    <n v="378"/>
    <x v="0"/>
    <x v="1"/>
    <n v="9"/>
  </r>
  <r>
    <n v="539"/>
    <s v="Folie antiefracție"/>
    <x v="22"/>
    <x v="4"/>
    <n v="16200"/>
    <x v="0"/>
    <x v="1"/>
    <n v="9"/>
  </r>
  <r>
    <n v="540"/>
    <s v="Lance drapel"/>
    <x v="22"/>
    <x v="4"/>
    <n v="219"/>
    <x v="0"/>
    <x v="1"/>
    <n v="9"/>
  </r>
  <r>
    <n v="541"/>
    <s v="Panou de fotografii GALERIA COMANDANȚILOR CMZB"/>
    <x v="22"/>
    <x v="4"/>
    <n v="1128"/>
    <x v="0"/>
    <x v="1"/>
    <n v="9"/>
  </r>
  <r>
    <n v="542"/>
    <s v="Apă minerală îmbuteliată în sticle de 0.33L și 0,5L"/>
    <x v="22"/>
    <x v="4"/>
    <n v="7000"/>
    <x v="0"/>
    <x v="0"/>
    <n v="10"/>
  </r>
  <r>
    <n v="543"/>
    <s v="Echipament telemetric"/>
    <x v="22"/>
    <x v="4"/>
    <n v="2003.52"/>
    <x v="0"/>
    <x v="1"/>
    <n v="9"/>
  </r>
  <r>
    <n v="544"/>
    <s v="Sare tablete de dedurizare și rășină de dedurizare"/>
    <x v="22"/>
    <x v="4"/>
    <n v="1180"/>
    <x v="0"/>
    <x v="1"/>
    <n v="9"/>
  </r>
  <r>
    <n v="545"/>
    <s v="Ștampile de sigilare (clește cu amprentă timbru sec)"/>
    <x v="22"/>
    <x v="4"/>
    <n v="404.96"/>
    <x v="0"/>
    <x v="0"/>
    <n v="10"/>
  </r>
  <r>
    <n v="546"/>
    <s v="Articole și accesorii electrice precum și corpuri de iluminat"/>
    <x v="22"/>
    <x v="4"/>
    <n v="106005.02"/>
    <x v="0"/>
    <x v="0"/>
    <n v="10"/>
  </r>
  <r>
    <n v="547"/>
    <s v="Articole și accesorii electrice surse de alimentare"/>
    <x v="22"/>
    <x v="4"/>
    <n v="13994.8"/>
    <x v="0"/>
    <x v="0"/>
    <n v="10"/>
  </r>
  <r>
    <n v="548"/>
    <s v="Revizii tehnice Dacia Spring"/>
    <x v="23"/>
    <x v="5"/>
    <n v="25000"/>
    <x v="0"/>
    <x v="0"/>
    <n v="10"/>
  </r>
  <r>
    <n v="549"/>
    <s v="Service și piese de schimb pentru autovehiculele din parcul auto al PMB"/>
    <x v="23"/>
    <x v="5"/>
    <n v="200000"/>
    <x v="0"/>
    <x v="0"/>
    <n v="10"/>
  </r>
  <r>
    <n v="550"/>
    <s v="Service post garanție pentru sistemul CorPage implementat la CIDRC"/>
    <x v="23"/>
    <x v="5"/>
    <n v="46000"/>
    <x v="0"/>
    <x v="0"/>
    <n v="10"/>
  </r>
  <r>
    <n v="551"/>
    <s v="Servicii de reparații și întreținere a centralelor telefonice interne (Servicii de asistență tehnică centrală telefonică)"/>
    <x v="23"/>
    <x v="5"/>
    <n v="24000"/>
    <x v="0"/>
    <x v="0"/>
    <n v="10"/>
  </r>
  <r>
    <n v="552"/>
    <s v="Servicii de reparații, întreținere și configurare pentru Call Center"/>
    <x v="23"/>
    <x v="5"/>
    <n v="40000"/>
    <x v="0"/>
    <x v="0"/>
    <n v="10"/>
  </r>
  <r>
    <n v="553"/>
    <s v="Servicii de instalare de utilaje și aparate de filtrare sau de purificare a lichidelor"/>
    <x v="23"/>
    <x v="5"/>
    <n v="76000"/>
    <x v="0"/>
    <x v="0"/>
    <n v="10"/>
  </r>
  <r>
    <n v="554"/>
    <s v="Închiriere de vehicule de transport de persoane cu șofer"/>
    <x v="23"/>
    <x v="5"/>
    <n v="48060"/>
    <x v="0"/>
    <x v="2"/>
    <n v="22"/>
  </r>
  <r>
    <n v="555"/>
    <s v="Servicii anexe pentru transportul aerian"/>
    <x v="23"/>
    <x v="5"/>
    <n v="15208.87"/>
    <x v="0"/>
    <x v="2"/>
    <n v="22"/>
  </r>
  <r>
    <n v="556"/>
    <s v="Servicii de telefonie și de transmisie de date"/>
    <x v="23"/>
    <x v="5"/>
    <n v="31712"/>
    <x v="0"/>
    <x v="1"/>
    <n v="9"/>
  </r>
  <r>
    <n v="557"/>
    <s v="Pachet software ca serviciu (SaaS) pentru ședințe, teleconferințe, dezbateri și alte activități desfășurate în mediul online"/>
    <x v="23"/>
    <x v="5"/>
    <n v="25000"/>
    <x v="0"/>
    <x v="0"/>
    <n v="10"/>
  </r>
  <r>
    <n v="558"/>
    <s v="Achiziționarea serviciilor de procesare de plăți online pentru anul 2025"/>
    <x v="23"/>
    <x v="5"/>
    <n v="75000"/>
    <x v="0"/>
    <x v="15"/>
    <n v="2"/>
  </r>
  <r>
    <n v="559"/>
    <s v="Achiziționarea serviciilor privind instalarea terminalelor de plată cu cardul pentru anul 2025"/>
    <x v="23"/>
    <x v="5"/>
    <n v="15000"/>
    <x v="0"/>
    <x v="15"/>
    <n v="2"/>
  </r>
  <r>
    <n v="560"/>
    <s v="Servicii de reînnoire a valabilității codului LEI (Legal Entity Identifier / Identificator de Entitate Juridică) pentru Municipiul București"/>
    <x v="23"/>
    <x v="5"/>
    <n v="210.08"/>
    <x v="0"/>
    <x v="12"/>
    <n v="4"/>
  </r>
  <r>
    <n v="561"/>
    <s v="Servicii de evaluare a performanței energetice a imobilelor/construcțiilor aflate în proprietatea privată a Municipiului București - Întocmire certificate energetice"/>
    <x v="23"/>
    <x v="5"/>
    <n v="7425"/>
    <x v="0"/>
    <x v="8"/>
    <n v="11"/>
  </r>
  <r>
    <n v="562"/>
    <s v="Studiu de audibilitate la nivelul Municipiului București și realizarea/reabilitarea sistemului de înștiințare, avertizare și alarmare a populației în situații de protecție civilă"/>
    <x v="23"/>
    <x v="5"/>
    <n v="102166"/>
    <x v="1"/>
    <x v="1"/>
    <n v="9"/>
  </r>
  <r>
    <n v="563"/>
    <s v="Servicii de prelucrare de date seismice"/>
    <x v="23"/>
    <x v="5"/>
    <n v="45520"/>
    <x v="0"/>
    <x v="0"/>
    <n v="10"/>
  </r>
  <r>
    <n v="564"/>
    <s v="Verificare metrologică anuală și etalonare pentru aparatura de evaluare a calității mediului din dotarea Direcției de Mediu."/>
    <x v="23"/>
    <x v="5"/>
    <n v="5050"/>
    <x v="0"/>
    <x v="13"/>
    <n v="12"/>
  </r>
  <r>
    <n v="565"/>
    <s v="Servicii de mentenanță preventivă și corectivă la echipamentul de tomografiere arbori (compus din PICUS 3 Tomograf Sonic și Picus Calliper 3 folding edition)"/>
    <x v="23"/>
    <x v="5"/>
    <n v="101007"/>
    <x v="1"/>
    <x v="13"/>
    <n v="12"/>
  </r>
  <r>
    <n v="566"/>
    <s v="Servicii de asistență tehnică și mentenanță aplicație legislativă"/>
    <x v="23"/>
    <x v="5"/>
    <n v="20000"/>
    <x v="0"/>
    <x v="0"/>
    <n v="10"/>
  </r>
  <r>
    <n v="567"/>
    <s v="Servicii de conectare în rețeaua metropolitană și accesul la internet al PMB"/>
    <x v="23"/>
    <x v="5"/>
    <n v="25000"/>
    <x v="0"/>
    <x v="0"/>
    <n v="10"/>
  </r>
  <r>
    <n v="568"/>
    <s v="Taxe prelungire valabilitate domenii internet (Nume de domenii internet)"/>
    <x v="23"/>
    <x v="5"/>
    <n v="1500"/>
    <x v="0"/>
    <x v="0"/>
    <n v="10"/>
  </r>
  <r>
    <n v="569"/>
    <s v="Servicii de interconectare a sediilor PMB"/>
    <x v="23"/>
    <x v="5"/>
    <n v="10000"/>
    <x v="0"/>
    <x v="0"/>
    <n v="10"/>
  </r>
  <r>
    <n v="570"/>
    <s v="Pachet servicii subscripție antivirus/antispam"/>
    <x v="23"/>
    <x v="5"/>
    <n v="180000"/>
    <x v="0"/>
    <x v="0"/>
    <n v="10"/>
  </r>
  <r>
    <n v="571"/>
    <s v="Supravegherea Sistemului de Management Integrat (calitate-mediu)"/>
    <x v="23"/>
    <x v="5"/>
    <n v="58800"/>
    <x v="0"/>
    <x v="18"/>
    <n v="15"/>
  </r>
  <r>
    <n v="572"/>
    <s v="Servicii de evaluare a Municipiului București (rating de credit)"/>
    <x v="23"/>
    <x v="5"/>
    <n v="214200"/>
    <x v="0"/>
    <x v="12"/>
    <n v="4"/>
  </r>
  <r>
    <n v="573"/>
    <s v="Servicii de elaborare &quot;Studiu statistic al indicatorilor relevanți pentru evaluarea Strategiei Integrate de Dezvoltare Urbană (SIDU) a Municipiului București&quot;"/>
    <x v="23"/>
    <x v="5"/>
    <n v="130000"/>
    <x v="0"/>
    <x v="1"/>
    <n v="9"/>
  </r>
  <r>
    <n v="574"/>
    <s v="Servicii de consultanță în domeniul evaluării"/>
    <x v="23"/>
    <x v="5"/>
    <n v="50000"/>
    <x v="0"/>
    <x v="2"/>
    <n v="22"/>
  </r>
  <r>
    <n v="575"/>
    <s v="Servicii de interpretariat și de traducere"/>
    <x v="23"/>
    <x v="5"/>
    <n v="170867"/>
    <x v="0"/>
    <x v="2"/>
    <n v="22"/>
  </r>
  <r>
    <n v="576"/>
    <s v="Servicii prestate de un expert independent, persoană fizică sau juridică, specializat în recrutarea resurselor umane în vederea participării la lucrările Comisiei de Selecție și Nominalizare, numită ulterior prin Hotărârea Autorității Deliberative, pentru derularea procedurii de selecție a membrilor în Consiliul de Administrație de la nivelul societății pe acțiuni Centrul de Sănătate STB S.A"/>
    <x v="23"/>
    <x v="5"/>
    <n v="12000"/>
    <x v="0"/>
    <x v="10"/>
    <n v="19"/>
  </r>
  <r>
    <n v="577"/>
    <s v="Servicii prestate de un expert independent, persoană fizică sau juridică, specializat în recrutarea resurselor umane în vederea participării la lucrările Comisiei de Selecție și Nominalizare, numită ulterior prin Hotărârea Autorității Deliberative, pentru derularea procedurii de selecție a membrilor în Consiliul de Administrație de la nivelul societății pe acțiuni Service Ciclop S.A"/>
    <x v="23"/>
    <x v="5"/>
    <n v="28000"/>
    <x v="0"/>
    <x v="10"/>
    <n v="19"/>
  </r>
  <r>
    <n v="578"/>
    <s v="Servicii prestate de un expert independent, persoană fizică sau juridică, specializat în recrutarea resurselor umane în vederea participării la lucrările Comisiei de Selecție și Nominalizare, numită ulterior prin Hotărârea Autorității Deliberative, pentru derularea procedurii de selecție a membrilor în Consiliul de Administrație de la nivelul societății pe acțiuni Compania Municipală Managementul Traficului București S.A"/>
    <x v="23"/>
    <x v="5"/>
    <n v="28000"/>
    <x v="0"/>
    <x v="10"/>
    <n v="19"/>
  </r>
  <r>
    <n v="579"/>
    <s v="Servicii prestate de un expert independent, persoană fizică sau juridică, specializat în recrutarea resurselor umane în vederea participării la lucrările Comisiei de Selecție și Nominalizare, numită ulterior prin Hotărârea Autorității Deliberative, pentru derularea procedurii de selecție a membrilor în Consiliul de Administrație de la nivelul societății pe acțiuni Societatea de Transport București S.A"/>
    <x v="23"/>
    <x v="5"/>
    <n v="28000"/>
    <x v="0"/>
    <x v="10"/>
    <n v="19"/>
  </r>
  <r>
    <n v="580"/>
    <s v="Servicii prestate de un expert independent, persoană fizică sau juridică, specializat în recrutarea resurselor umane în vederea participării la lucrările Comisiei de Selecție și Nominalizare, numită ulterior prin Hotărârea Autorității Deliberative, pentru derularea procedurii de selecție a membrilor în Consiliul de Administrație de la nivelul societății pe acțiuni Compania Municipală Imobiliară București S.A"/>
    <x v="23"/>
    <x v="5"/>
    <n v="28000"/>
    <x v="0"/>
    <x v="10"/>
    <n v="19"/>
  </r>
  <r>
    <n v="581"/>
    <s v="Servicii de tipărire și livrare tichete de creșă"/>
    <x v="23"/>
    <x v="5"/>
    <n v="100"/>
    <x v="0"/>
    <x v="5"/>
    <n v="14"/>
  </r>
  <r>
    <n v="582"/>
    <s v="Servicii de tipărire și livrare vouchere de vacanță pe suport electronic"/>
    <x v="23"/>
    <x v="5"/>
    <n v="100"/>
    <x v="0"/>
    <x v="5"/>
    <n v="14"/>
  </r>
  <r>
    <n v="583"/>
    <s v="Servicii de taxare"/>
    <x v="23"/>
    <x v="5"/>
    <n v="15000"/>
    <x v="0"/>
    <x v="0"/>
    <n v="10"/>
  </r>
  <r>
    <n v="584"/>
    <s v="Servicii de analiză de risc la securitatea fizică pentru obiectivele administrate de DIMSU"/>
    <x v="23"/>
    <x v="5"/>
    <n v="8000"/>
    <x v="0"/>
    <x v="1"/>
    <n v="9"/>
  </r>
  <r>
    <n v="585"/>
    <s v="Actualizare standarde folosite în domeniul protecției mediului"/>
    <x v="23"/>
    <x v="5"/>
    <n v="2521"/>
    <x v="0"/>
    <x v="13"/>
    <n v="12"/>
  </r>
  <r>
    <n v="586"/>
    <s v="Servicii de furnizare televiziune"/>
    <x v="23"/>
    <x v="5"/>
    <n v="5648"/>
    <x v="0"/>
    <x v="1"/>
    <n v="9"/>
  </r>
  <r>
    <n v="587"/>
    <s v="Achiziția serviciilor de colectare, transport și neutralizare a animalelor moarte, provenite din gospodăriile crescătorilor individuali de animale, de pe raza municipiului București"/>
    <x v="23"/>
    <x v="5"/>
    <n v="30252"/>
    <x v="0"/>
    <x v="6"/>
    <n v="7"/>
  </r>
  <r>
    <n v="588"/>
    <s v="Servicii de internet, telefonie fixă digitală-voce, date și televiziune, pentru Arena Națională"/>
    <x v="23"/>
    <x v="5"/>
    <n v="29638.2"/>
    <x v="0"/>
    <x v="4"/>
    <n v="3"/>
  </r>
  <r>
    <n v="589"/>
    <s v="Servicii prestate de un expert independent, persoană fizică sau juridică, specializat în recrutarea resurselor umane în vederea participării la lucrările Comisiei de Selecție și Nominalizare, numită ulterior prin Hotărârea Autorității Deliberative, pentru derularea procedurii de selecție a membrilor în Consiliul de Administrație de la nivelul societății pe acțiuni Trustul de Clădiri Metropolitane București S.A"/>
    <x v="23"/>
    <x v="5"/>
    <n v="20000"/>
    <x v="0"/>
    <x v="10"/>
    <n v="19"/>
  </r>
  <r>
    <n v="590"/>
    <s v="Servicii prestate de un expert independent, persoană fizică sau juridică, specializat în recrutarea resurselor umane în vederea participării la lucrările Comisiei de Selecție și Nominalizare, numită ulterior prin Hotărârea Autorității Deliberative, pentru derularea procedurii de selecție a membrilor în Consiliul de Administrație de la nivelul societății Compania Municipală Iluminat Public București S.R.L."/>
    <x v="23"/>
    <x v="5"/>
    <n v="28000"/>
    <x v="0"/>
    <x v="10"/>
    <n v="19"/>
  </r>
  <r>
    <n v="591"/>
    <s v="Servicii prestate de un expert independent, persoană fizică sau juridică, specializat în recrutarea resurselor umane în vederea participării la lucrările Comisiei de Selecție și Nominalizare, numită ulterior prin Hotărârea Autorității Deliberative, pentru derularea procedurii de selecție a membrilor în Consiliul de Administrație de la nivelul societății pe acțiuni Compania Municipală Eco Igienizare București S.A."/>
    <x v="23"/>
    <x v="5"/>
    <n v="28000"/>
    <x v="0"/>
    <x v="10"/>
    <n v="19"/>
  </r>
  <r>
    <n v="592"/>
    <s v="Servicii prestate de un expert independent, persoană fizică sau juridică, specializat în recrutarea resurselor umane în vederea participării la lucrările Comisiei de Selecție și Nominalizare, numită ulterior prin Hotărârea Autorității Deliberative, pentru derularea procedurii de selecție a membrilor în Consiliul de Administrație de la nivelul societății pe acțiuni Compania Municipală Energetica Servicii București S.A"/>
    <x v="23"/>
    <x v="5"/>
    <n v="28000"/>
    <x v="0"/>
    <x v="10"/>
    <n v="19"/>
  </r>
  <r>
    <n v="593"/>
    <s v="Servicii prestate de un expert independent, persoană fizică sau juridică, specializat în recrutarea resurselor umane în vederea participării la lucrările Comisiei de Selecție și Nominalizare, numită ulterior prin Hotărârea Autorității Deliberative, pentru derularea procedurii de selecție a membrilor în Consiliul de Administrație de la nivelul societății pe acțiuni Compania Municipală Parking București S.A"/>
    <x v="23"/>
    <x v="5"/>
    <n v="28000"/>
    <x v="0"/>
    <x v="10"/>
    <n v="19"/>
  </r>
  <r>
    <n v="594"/>
    <s v="Servicii de întreținere a ascensoarelor"/>
    <x v="23"/>
    <x v="5"/>
    <n v="70000"/>
    <x v="0"/>
    <x v="0"/>
    <n v="10"/>
  </r>
  <r>
    <n v="595"/>
    <s v="Servicii de întreținere a ascensoarelor din Centrul Municipal Integrat pentru Situații de Urgență (C.M.I.S.U)"/>
    <x v="23"/>
    <x v="5"/>
    <n v="52000"/>
    <x v="0"/>
    <x v="1"/>
    <n v="9"/>
  </r>
  <r>
    <n v="596"/>
    <s v="Servicii revizie curentă lunară, mentenanță, ISCIR-izare și asistență tehnică pentru ascensoarele de persoane și marfă din cadrul stadionului Arena Națională pentru anul 2025"/>
    <x v="23"/>
    <x v="5"/>
    <n v="139000"/>
    <x v="0"/>
    <x v="4"/>
    <n v="3"/>
  </r>
  <r>
    <n v="597"/>
    <s v="Servicii de neutralizare graffiti antisemit pentru obiectivul de investiții &quot;Pasaj rutier, denivelat superior Bărăgan&quot;"/>
    <x v="23"/>
    <x v="5"/>
    <n v="28700"/>
    <x v="0"/>
    <x v="4"/>
    <n v="3"/>
  </r>
  <r>
    <n v="598"/>
    <s v="Servicii de defrișare"/>
    <x v="23"/>
    <x v="5"/>
    <n v="23400"/>
    <x v="0"/>
    <x v="0"/>
    <n v="10"/>
  </r>
  <r>
    <n v="599"/>
    <s v="Servicii de reparații fotolii din cadrul Stadionului Arena Națională"/>
    <x v="23"/>
    <x v="5"/>
    <n v="259350"/>
    <x v="0"/>
    <x v="4"/>
    <n v="3"/>
  </r>
  <r>
    <n v="600"/>
    <s v="Servicii de întreținere și reparare a fotocopiatoarelor, piese, accesorii"/>
    <x v="23"/>
    <x v="5"/>
    <n v="65000"/>
    <x v="0"/>
    <x v="0"/>
    <n v="10"/>
  </r>
  <r>
    <n v="601"/>
    <s v="Servicii de verificare și revizie tehnică periodică a instalației de utilizare gaze naturale la obiective de protecție civilă"/>
    <x v="23"/>
    <x v="5"/>
    <n v="8403"/>
    <x v="0"/>
    <x v="1"/>
    <n v="9"/>
  </r>
  <r>
    <n v="602"/>
    <s v="Servicii de închiriere aparate de filtrare/de purificare a apei pentru Centrul Militar Zonal București"/>
    <x v="23"/>
    <x v="5"/>
    <n v="15120"/>
    <x v="0"/>
    <x v="1"/>
    <n v="9"/>
  </r>
  <r>
    <n v="603"/>
    <s v="Servicii de reparare și de întreținere a echipamentului de stingere a incendiilor"/>
    <x v="23"/>
    <x v="5"/>
    <n v="5000"/>
    <x v="0"/>
    <x v="0"/>
    <n v="10"/>
  </r>
  <r>
    <n v="604"/>
    <s v="Servicii de energie electrică și servicii conexe - PRAM"/>
    <x v="23"/>
    <x v="5"/>
    <n v="5000"/>
    <x v="0"/>
    <x v="0"/>
    <n v="10"/>
  </r>
  <r>
    <n v="605"/>
    <s v="Servicii de asistență tehnică, mentenanță și instruire sistem informatic integrat pentru echipamente active rețea"/>
    <x v="23"/>
    <x v="5"/>
    <n v="260000"/>
    <x v="0"/>
    <x v="0"/>
    <n v="10"/>
  </r>
  <r>
    <n v="606"/>
    <s v="Servicii de verificare și curățare coșuri fum la imobilul din B-dul Regina Elisabeta, nr.47, sector 5 - sediul Primăria Municipiului București"/>
    <x v="23"/>
    <x v="5"/>
    <n v="5238"/>
    <x v="0"/>
    <x v="0"/>
    <n v="10"/>
  </r>
  <r>
    <n v="607"/>
    <s v="Servicii de revizie tehnică Grup Electrogen ZENESSIS model ESE 360DW"/>
    <x v="23"/>
    <x v="5"/>
    <n v="5650"/>
    <x v="0"/>
    <x v="0"/>
    <n v="10"/>
  </r>
  <r>
    <n v="608"/>
    <s v="Servicii de inspecție tehnică ISCIR"/>
    <x v="23"/>
    <x v="5"/>
    <n v="4500"/>
    <x v="0"/>
    <x v="0"/>
    <n v="10"/>
  </r>
  <r>
    <n v="609"/>
    <s v="Servicii de întreținere și verificare a construcțiilor - verificare instalație de utilizare a gazelor naturale"/>
    <x v="23"/>
    <x v="5"/>
    <n v="2970"/>
    <x v="0"/>
    <x v="0"/>
    <n v="10"/>
  </r>
  <r>
    <n v="610"/>
    <s v="Servicii de creație, proiectare grafică și traducere aferente materialelor de promovare, inclusiv drepturile de autor aferente creației acestora (pachet turistic)"/>
    <x v="23"/>
    <x v="5"/>
    <n v="44113"/>
    <x v="0"/>
    <x v="3"/>
    <n v="23"/>
  </r>
  <r>
    <n v="611"/>
    <s v="Studiu de consum cultural la nivelul orașului București"/>
    <x v="23"/>
    <x v="5"/>
    <n v="206000"/>
    <x v="0"/>
    <x v="3"/>
    <n v="23"/>
  </r>
  <r>
    <n v="612"/>
    <s v="Servicii de lichidare judiciară"/>
    <x v="23"/>
    <x v="5"/>
    <n v="35000"/>
    <x v="0"/>
    <x v="19"/>
    <n v="13"/>
  </r>
  <r>
    <n v="613"/>
    <s v="Executare a plăcii de marmură &quot;Galeria Comandanților&quot;"/>
    <x v="23"/>
    <x v="5"/>
    <n v="2995"/>
    <x v="0"/>
    <x v="1"/>
    <n v="9"/>
  </r>
  <r>
    <n v="614"/>
    <s v="Servicii de realizare curs de specializare și perfecționare în scopul instruirii personalului Direcției de Mediu pentru utilizarea și administrarea sonometrelor și a softului specializat"/>
    <x v="23"/>
    <x v="5"/>
    <n v="9450"/>
    <x v="0"/>
    <x v="13"/>
    <n v="12"/>
  </r>
  <r>
    <n v="616"/>
    <s v="Achiziționarea serviciilor de procesare de plăți prin terminal POS și online pentru plata cu cardurile bancare a sumelor datorate bugetului Municipiului București pentru anul 2026"/>
    <x v="23"/>
    <x v="5"/>
    <n v="156100"/>
    <x v="0"/>
    <x v="15"/>
    <n v="2"/>
  </r>
  <r>
    <n v="617"/>
    <s v="Servicii de inspecție tehnică"/>
    <x v="23"/>
    <x v="5"/>
    <n v="13000"/>
    <x v="0"/>
    <x v="0"/>
    <n v="10"/>
  </r>
  <r>
    <n v="618"/>
    <s v="Refacere zonă protecție puțuri"/>
    <x v="24"/>
    <x v="6"/>
    <n v="196400"/>
    <x v="0"/>
    <x v="1"/>
    <n v="9"/>
  </r>
  <r>
    <n v="619"/>
    <s v="Închidere zonă de protecție generatoare"/>
    <x v="24"/>
    <x v="6"/>
    <n v="115494"/>
    <x v="1"/>
    <x v="1"/>
    <n v="9"/>
  </r>
  <r>
    <n v="620"/>
    <s v="Reparații curente la obiectivele de protecție civilă și/sau puncte de comandă"/>
    <x v="24"/>
    <x v="6"/>
    <n v="489654.84"/>
    <x v="0"/>
    <x v="1"/>
    <n v="9"/>
  </r>
  <r>
    <n v="621"/>
    <s v="Lucrări de reparații, renovare și amenajări interioare în sediul Centrului de Informare, Documentare și Relații cu Cetățenii situat în Bd. Regina Elisabeta nr. 42"/>
    <x v="24"/>
    <x v="6"/>
    <n v="300000"/>
    <x v="1"/>
    <x v="17"/>
    <n v="6"/>
  </r>
  <r>
    <n v="624"/>
    <s v="Servicii pentru auditul proiectului Extinderea și reabilitarea infrastructurii de apă și apă uzată în zonele Ghidigeni, Olteniței, Cheile Turzii și Henri Coandă, Municipiul București"/>
    <x v="25"/>
    <x v="5"/>
    <n v="432453"/>
    <x v="1"/>
    <x v="6"/>
    <n v="7"/>
  </r>
  <r>
    <n v="625"/>
    <s v="Servicii de informare și publicitate pentru Extinderea și reabilitarea infrastructurii de apă și apă uzată în zonele Ghidigeni, Olteniței, Cheile Turzii și Henri Coandă, Municipiul București"/>
    <x v="25"/>
    <x v="5"/>
    <n v="131382"/>
    <x v="1"/>
    <x v="6"/>
    <n v="7"/>
  </r>
  <r>
    <n v="626"/>
    <s v="Servicii de informare și publicitate pentru restul de executat din proiectul Extinderea și reabilitarea infrastructurii de apă și apă uzată în zonele Ghidigeni, Olteniței și Cheile Turzii din Municipiul București"/>
    <x v="25"/>
    <x v="5"/>
    <n v="123570"/>
    <x v="1"/>
    <x v="6"/>
    <n v="7"/>
  </r>
  <r>
    <n v="628"/>
    <s v="Servicii pentru auditul proiectului Extinderea și reabilitarea infrastructurii de apă și apă uzată în zonele Ghidigeni, Olteniței, Cheile Turzii și Henri Coandă, Municipiul București"/>
    <x v="25"/>
    <x v="5"/>
    <n v="338453"/>
    <x v="1"/>
    <x v="6"/>
    <n v="7"/>
  </r>
  <r>
    <n v="637"/>
    <s v="Achiziția serviciului de informare și publicitate-rest rămas de prestat pentru proiectul &quot;Reabilitarea sistemului de termoficare al Municipiului București-Etapa a II-a&quot;"/>
    <x v="26"/>
    <x v="5"/>
    <n v="155500"/>
    <x v="1"/>
    <x v="6"/>
    <n v="7"/>
  </r>
  <r>
    <n v="645"/>
    <s v="Servicii de audit financiar"/>
    <x v="27"/>
    <x v="5"/>
    <n v="94050"/>
    <x v="1"/>
    <x v="12"/>
    <n v="4"/>
  </r>
  <r>
    <n v="646"/>
    <s v="Servicii de publicitate, informare și promovare"/>
    <x v="27"/>
    <x v="5"/>
    <n v="78900.460000000006"/>
    <x v="1"/>
    <x v="12"/>
    <n v="4"/>
  </r>
  <r>
    <n v="647"/>
    <s v="Servicii de informare, publicitate și promovare"/>
    <x v="27"/>
    <x v="5"/>
    <n v="11600"/>
    <x v="1"/>
    <x v="12"/>
    <n v="4"/>
  </r>
  <r>
    <n v="648"/>
    <s v="Servicii de audit financiar"/>
    <x v="27"/>
    <x v="5"/>
    <n v="54892.800000000003"/>
    <x v="1"/>
    <x v="12"/>
    <n v="4"/>
  </r>
  <r>
    <n v="651"/>
    <s v="Servicii de informare, publicitate și promovare pentru obiectivul de investiții..."/>
    <x v="28"/>
    <x v="5"/>
    <n v="40586"/>
    <x v="1"/>
    <x v="4"/>
    <n v="3"/>
  </r>
  <r>
    <n v="653"/>
    <s v="Servicii de informare, publicitate și promovare"/>
    <x v="29"/>
    <x v="5"/>
    <n v="7100"/>
    <x v="1"/>
    <x v="7"/>
    <n v="17"/>
  </r>
  <r>
    <n v="655"/>
    <s v="Servicii de informare, publicitate și promovare"/>
    <x v="30"/>
    <x v="5"/>
    <n v="4500"/>
    <x v="1"/>
    <x v="7"/>
    <n v="17"/>
  </r>
  <r>
    <n v="660"/>
    <s v="Servicii de audit financiar"/>
    <x v="31"/>
    <x v="5"/>
    <n v="115200"/>
    <x v="1"/>
    <x v="12"/>
    <n v="4"/>
  </r>
  <r>
    <n v="661"/>
    <s v="Servicii de informare, publicitate și promovare"/>
    <x v="31"/>
    <x v="5"/>
    <n v="131092.79999999999"/>
    <x v="1"/>
    <x v="12"/>
    <n v="4"/>
  </r>
  <r>
    <n v="662"/>
    <s v="Servicii de audit financiar"/>
    <x v="31"/>
    <x v="5"/>
    <n v="76800"/>
    <x v="1"/>
    <x v="12"/>
    <n v="4"/>
  </r>
  <r>
    <n v="663"/>
    <s v="Servicii de informare, publicitate și promovare"/>
    <x v="31"/>
    <x v="5"/>
    <n v="176009.96"/>
    <x v="1"/>
    <x v="12"/>
    <n v="4"/>
  </r>
  <r>
    <n v="664"/>
    <s v="Servicii de campanii de publicitate în cadrul proiectului european &quot;ECOALITY: Tineret și autorități locale împreună pentru justiția de gen și climatică&quot;"/>
    <x v="32"/>
    <x v="5"/>
    <n v="114021"/>
    <x v="2"/>
    <x v="3"/>
    <n v="23"/>
  </r>
  <r>
    <n v="665"/>
    <s v="Servicii de organizare de seminarii în cadrul proiectului european &quot;ECOALITY: Tineret și autorități locale împreună pentru justiția de gen și climatică&quot;"/>
    <x v="32"/>
    <x v="5"/>
    <n v="48192"/>
    <x v="2"/>
    <x v="3"/>
    <n v="23"/>
  </r>
  <r>
    <n v="666"/>
    <s v="Servicii de transport aerian pentru deplasarea în Croația..."/>
    <x v="32"/>
    <x v="5"/>
    <n v="2951"/>
    <x v="2"/>
    <x v="3"/>
    <n v="23"/>
  </r>
  <r>
    <n v="667"/>
    <s v="Servicii de cazare la hotel pentru deplasarea în Croația..."/>
    <x v="32"/>
    <x v="5"/>
    <n v="7541"/>
    <x v="2"/>
    <x v="3"/>
    <n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778680-9610-47DB-A225-9946CDC4A5CB}"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7" firstHeaderRow="1" firstDataRow="2" firstDataCol="1" rowPageCount="1" colPageCount="1"/>
  <pivotFields count="8">
    <pivotField showAll="0"/>
    <pivotField showAll="0"/>
    <pivotField axis="axisRow" showAll="0">
      <items count="34">
        <item x="27"/>
        <item x="30"/>
        <item x="17"/>
        <item x="3"/>
        <item x="32"/>
        <item x="25"/>
        <item x="22"/>
        <item x="0"/>
        <item x="29"/>
        <item x="24"/>
        <item x="4"/>
        <item x="31"/>
        <item x="5"/>
        <item x="26"/>
        <item x="1"/>
        <item x="8"/>
        <item x="19"/>
        <item x="15"/>
        <item x="9"/>
        <item x="16"/>
        <item x="13"/>
        <item x="20"/>
        <item x="14"/>
        <item x="6"/>
        <item x="10"/>
        <item x="12"/>
        <item x="18"/>
        <item x="21"/>
        <item x="23"/>
        <item x="7"/>
        <item x="28"/>
        <item x="2"/>
        <item x="11"/>
        <item t="default"/>
      </items>
    </pivotField>
    <pivotField axis="axisRow" showAll="0">
      <items count="8">
        <item x="4"/>
        <item x="0"/>
        <item x="1"/>
        <item x="6"/>
        <item x="5"/>
        <item x="3"/>
        <item x="2"/>
        <item t="default"/>
      </items>
    </pivotField>
    <pivotField dataField="1" numFmtId="2" showAll="0"/>
    <pivotField axis="axisCol" showAll="0">
      <items count="4">
        <item x="2"/>
        <item x="0"/>
        <item x="1"/>
        <item t="default"/>
      </items>
    </pivotField>
    <pivotField axis="axisPage" showAll="0">
      <items count="21">
        <item x="18"/>
        <item x="3"/>
        <item x="13"/>
        <item x="9"/>
        <item x="17"/>
        <item x="15"/>
        <item x="4"/>
        <item x="0"/>
        <item x="12"/>
        <item x="6"/>
        <item x="1"/>
        <item x="16"/>
        <item x="10"/>
        <item x="19"/>
        <item x="5"/>
        <item x="8"/>
        <item x="11"/>
        <item x="2"/>
        <item x="7"/>
        <item x="14"/>
        <item t="default"/>
      </items>
    </pivotField>
    <pivotField showAll="0"/>
  </pivotFields>
  <rowFields count="2">
    <field x="3"/>
    <field x="2"/>
  </rowFields>
  <rowItems count="43">
    <i>
      <x/>
    </i>
    <i r="1">
      <x v="6"/>
    </i>
    <i>
      <x v="1"/>
    </i>
    <i r="1">
      <x v="7"/>
    </i>
    <i>
      <x v="2"/>
    </i>
    <i r="1">
      <x v="3"/>
    </i>
    <i r="1">
      <x v="10"/>
    </i>
    <i r="1">
      <x v="12"/>
    </i>
    <i r="1">
      <x v="14"/>
    </i>
    <i r="1">
      <x v="31"/>
    </i>
    <i>
      <x v="3"/>
    </i>
    <i r="1">
      <x v="9"/>
    </i>
    <i>
      <x v="4"/>
    </i>
    <i r="1">
      <x/>
    </i>
    <i r="1">
      <x v="1"/>
    </i>
    <i r="1">
      <x v="4"/>
    </i>
    <i r="1">
      <x v="5"/>
    </i>
    <i r="1">
      <x v="8"/>
    </i>
    <i r="1">
      <x v="11"/>
    </i>
    <i r="1">
      <x v="13"/>
    </i>
    <i r="1">
      <x v="28"/>
    </i>
    <i r="1">
      <x v="30"/>
    </i>
    <i>
      <x v="5"/>
    </i>
    <i r="1">
      <x v="18"/>
    </i>
    <i r="1">
      <x v="27"/>
    </i>
    <i>
      <x v="6"/>
    </i>
    <i r="1">
      <x v="2"/>
    </i>
    <i r="1">
      <x v="15"/>
    </i>
    <i r="1">
      <x v="16"/>
    </i>
    <i r="1">
      <x v="17"/>
    </i>
    <i r="1">
      <x v="18"/>
    </i>
    <i r="1">
      <x v="19"/>
    </i>
    <i r="1">
      <x v="20"/>
    </i>
    <i r="1">
      <x v="21"/>
    </i>
    <i r="1">
      <x v="22"/>
    </i>
    <i r="1">
      <x v="23"/>
    </i>
    <i r="1">
      <x v="24"/>
    </i>
    <i r="1">
      <x v="25"/>
    </i>
    <i r="1">
      <x v="26"/>
    </i>
    <i r="1">
      <x v="27"/>
    </i>
    <i r="1">
      <x v="29"/>
    </i>
    <i r="1">
      <x v="32"/>
    </i>
    <i t="grand">
      <x/>
    </i>
  </rowItems>
  <colFields count="1">
    <field x="5"/>
  </colFields>
  <colItems count="4">
    <i>
      <x/>
    </i>
    <i>
      <x v="1"/>
    </i>
    <i>
      <x v="2"/>
    </i>
    <i t="grand">
      <x/>
    </i>
  </colItems>
  <pageFields count="1">
    <pageField fld="6" hier="-1"/>
  </pageFields>
  <dataFields count="1">
    <dataField name="Sum of Valoare(lei)" fld="4"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DDDE19-5BBD-465B-BB80-2CFF4836C8CB}" name="PivotTable22" cacheId="2"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2">
  <location ref="A3:C33" firstHeaderRow="0" firstDataRow="1" firstDataCol="1"/>
  <pivotFields count="10">
    <pivotField dataField="1" showAll="0"/>
    <pivotField numFmtId="165" showAll="0">
      <items count="18">
        <item x="0"/>
        <item x="1"/>
        <item x="2"/>
        <item x="3"/>
        <item x="4"/>
        <item x="5"/>
        <item x="6"/>
        <item x="7"/>
        <item x="8"/>
        <item x="9"/>
        <item x="10"/>
        <item x="11"/>
        <item x="12"/>
        <item x="13"/>
        <item x="14"/>
        <item x="15"/>
        <item x="16"/>
        <item t="default"/>
      </items>
    </pivotField>
    <pivotField axis="axisRow" showAll="0">
      <items count="21">
        <item x="8"/>
        <item x="12"/>
        <item x="7"/>
        <item x="15"/>
        <item x="2"/>
        <item x="6"/>
        <item x="10"/>
        <item x="19"/>
        <item x="3"/>
        <item x="9"/>
        <item x="0"/>
        <item x="1"/>
        <item x="14"/>
        <item x="11"/>
        <item x="4"/>
        <item x="16"/>
        <item x="18"/>
        <item x="17"/>
        <item x="13"/>
        <item x="5"/>
        <item t="default"/>
      </items>
    </pivotField>
    <pivotField dataField="1" numFmtId="2" showAll="0"/>
    <pivotField showAll="0"/>
    <pivotField numFmtId="2" showAll="0"/>
    <pivotField showAll="0">
      <items count="9">
        <item x="5"/>
        <item x="3"/>
        <item x="7"/>
        <item x="4"/>
        <item x="2"/>
        <item x="1"/>
        <item x="0"/>
        <item x="6"/>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x="1"/>
        <item x="2"/>
        <item x="3"/>
        <item x="4"/>
        <item x="5"/>
        <item x="6"/>
        <item sd="0" x="7"/>
        <item x="8"/>
        <item x="9"/>
        <item sd="0" x="10"/>
        <item sd="0" x="11"/>
        <item sd="0" x="12"/>
        <item sd="0" x="13"/>
        <item t="default"/>
      </items>
    </pivotField>
  </pivotFields>
  <rowFields count="2">
    <field x="9"/>
    <field x="2"/>
  </rowFields>
  <rowItems count="30">
    <i>
      <x v="1"/>
    </i>
    <i r="1">
      <x v="4"/>
    </i>
    <i r="1">
      <x v="8"/>
    </i>
    <i r="1">
      <x v="10"/>
    </i>
    <i r="1">
      <x v="11"/>
    </i>
    <i>
      <x v="2"/>
    </i>
    <i r="1">
      <x v="14"/>
    </i>
    <i r="1">
      <x v="19"/>
    </i>
    <i>
      <x v="3"/>
    </i>
    <i r="1">
      <x/>
    </i>
    <i r="1">
      <x v="2"/>
    </i>
    <i r="1">
      <x v="5"/>
    </i>
    <i r="1">
      <x v="9"/>
    </i>
    <i>
      <x v="4"/>
    </i>
    <i r="1">
      <x v="6"/>
    </i>
    <i>
      <x v="5"/>
    </i>
    <i r="1">
      <x v="1"/>
    </i>
    <i r="1">
      <x v="3"/>
    </i>
    <i r="1">
      <x v="12"/>
    </i>
    <i r="1">
      <x v="13"/>
    </i>
    <i r="1">
      <x v="15"/>
    </i>
    <i r="1">
      <x v="17"/>
    </i>
    <i r="1">
      <x v="18"/>
    </i>
    <i>
      <x v="6"/>
    </i>
    <i r="1">
      <x v="16"/>
    </i>
    <i>
      <x v="8"/>
    </i>
    <i r="1">
      <x v="3"/>
    </i>
    <i>
      <x v="9"/>
    </i>
    <i r="1">
      <x v="7"/>
    </i>
    <i t="grand">
      <x/>
    </i>
  </rowItems>
  <colFields count="1">
    <field x="-2"/>
  </colFields>
  <colItems count="2">
    <i>
      <x/>
    </i>
    <i i="1">
      <x v="1"/>
    </i>
  </colItems>
  <dataFields count="2">
    <dataField name="Total contracte" fld="0" subtotal="count" baseField="9" baseItem="1"/>
    <dataField name="Total valoare(lei)" fld="3" baseField="9" baseItem="1"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7A9D10-C84B-402F-B25A-DCB8637EE571}" name="PivotTable24" cacheId="1"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3:D54" firstHeaderRow="0" firstDataRow="1" firstDataCol="1"/>
  <pivotFields count="8">
    <pivotField dataField="1" showAll="0"/>
    <pivotField showAll="0"/>
    <pivotField showAll="0">
      <items count="34">
        <item x="27"/>
        <item x="30"/>
        <item x="17"/>
        <item x="3"/>
        <item x="32"/>
        <item x="25"/>
        <item x="22"/>
        <item x="0"/>
        <item x="29"/>
        <item x="24"/>
        <item x="4"/>
        <item x="31"/>
        <item x="5"/>
        <item x="26"/>
        <item x="1"/>
        <item x="8"/>
        <item x="19"/>
        <item x="15"/>
        <item x="9"/>
        <item x="16"/>
        <item x="13"/>
        <item x="20"/>
        <item x="14"/>
        <item x="6"/>
        <item x="10"/>
        <item x="12"/>
        <item x="18"/>
        <item x="21"/>
        <item x="23"/>
        <item x="7"/>
        <item x="28"/>
        <item x="2"/>
        <item x="11"/>
        <item t="default"/>
      </items>
    </pivotField>
    <pivotField showAll="0">
      <items count="8">
        <item x="4"/>
        <item x="0"/>
        <item x="1"/>
        <item x="6"/>
        <item x="5"/>
        <item x="3"/>
        <item x="2"/>
        <item t="default"/>
      </items>
    </pivotField>
    <pivotField dataField="1" numFmtId="2" showAll="0"/>
    <pivotField axis="axisRow" showAll="0">
      <items count="4">
        <item x="2"/>
        <item x="0"/>
        <item x="1"/>
        <item t="default"/>
      </items>
    </pivotField>
    <pivotField axis="axisRow" showAll="0" sortType="descending">
      <items count="21">
        <item x="18"/>
        <item x="3"/>
        <item x="13"/>
        <item x="9"/>
        <item x="17"/>
        <item x="15"/>
        <item x="4"/>
        <item x="0"/>
        <item x="12"/>
        <item x="6"/>
        <item x="1"/>
        <item x="16"/>
        <item x="10"/>
        <item x="19"/>
        <item x="5"/>
        <item x="8"/>
        <item x="11"/>
        <item x="2"/>
        <item x="7"/>
        <item x="14"/>
        <item t="default"/>
      </items>
      <autoSortScope>
        <pivotArea dataOnly="0" outline="0" fieldPosition="0">
          <references count="1">
            <reference field="4294967294" count="1" selected="0">
              <x v="2"/>
            </reference>
          </references>
        </pivotArea>
      </autoSortScope>
    </pivotField>
    <pivotField showAll="0"/>
  </pivotFields>
  <rowFields count="2">
    <field x="6"/>
    <field x="5"/>
  </rowFields>
  <rowItems count="51">
    <i>
      <x v="7"/>
    </i>
    <i r="1">
      <x v="1"/>
    </i>
    <i r="1">
      <x v="2"/>
    </i>
    <i>
      <x v="9"/>
    </i>
    <i r="1">
      <x v="1"/>
    </i>
    <i r="1">
      <x v="2"/>
    </i>
    <i>
      <x v="10"/>
    </i>
    <i r="1">
      <x v="1"/>
    </i>
    <i r="1">
      <x v="2"/>
    </i>
    <i>
      <x v="6"/>
    </i>
    <i r="1">
      <x v="1"/>
    </i>
    <i r="1">
      <x v="2"/>
    </i>
    <i>
      <x v="17"/>
    </i>
    <i r="1">
      <x v="1"/>
    </i>
    <i>
      <x v="1"/>
    </i>
    <i r="1">
      <x/>
    </i>
    <i r="1">
      <x v="1"/>
    </i>
    <i>
      <x v="8"/>
    </i>
    <i r="1">
      <x/>
    </i>
    <i r="1">
      <x v="1"/>
    </i>
    <i r="1">
      <x v="2"/>
    </i>
    <i>
      <x v="11"/>
    </i>
    <i r="1">
      <x v="2"/>
    </i>
    <i>
      <x v="18"/>
    </i>
    <i r="1">
      <x v="1"/>
    </i>
    <i r="1">
      <x v="2"/>
    </i>
    <i>
      <x v="2"/>
    </i>
    <i r="1">
      <x v="1"/>
    </i>
    <i r="1">
      <x v="2"/>
    </i>
    <i>
      <x v="4"/>
    </i>
    <i r="1">
      <x v="1"/>
    </i>
    <i r="1">
      <x v="2"/>
    </i>
    <i>
      <x v="5"/>
    </i>
    <i r="1">
      <x v="1"/>
    </i>
    <i>
      <x v="3"/>
    </i>
    <i r="1">
      <x v="1"/>
    </i>
    <i>
      <x v="12"/>
    </i>
    <i r="1">
      <x v="1"/>
    </i>
    <i>
      <x v="14"/>
    </i>
    <i r="1">
      <x v="1"/>
    </i>
    <i>
      <x v="19"/>
    </i>
    <i r="1">
      <x v="1"/>
    </i>
    <i>
      <x/>
    </i>
    <i r="1">
      <x v="1"/>
    </i>
    <i>
      <x v="13"/>
    </i>
    <i r="1">
      <x v="1"/>
    </i>
    <i>
      <x v="15"/>
    </i>
    <i r="1">
      <x v="1"/>
    </i>
    <i>
      <x v="16"/>
    </i>
    <i r="1">
      <x v="1"/>
    </i>
    <i t="grand">
      <x/>
    </i>
  </rowItems>
  <colFields count="1">
    <field x="-2"/>
  </colFields>
  <colItems count="3">
    <i>
      <x/>
    </i>
    <i i="1">
      <x v="1"/>
    </i>
    <i i="2">
      <x v="2"/>
    </i>
  </colItems>
  <dataFields count="3">
    <dataField name="Total achiziții" fld="0" subtotal="count" baseField="6" baseItem="0"/>
    <dataField name="Total Valoare(lei)" fld="4" baseField="6" baseItem="0" numFmtId="2"/>
    <dataField name="Total proce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B43DD6-8A0D-45D9-BF9E-566AC42A4532}" name="PivotTable2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B8" firstHeaderRow="1" firstDataRow="1" firstDataCol="1" rowPageCount="2" colPageCount="1"/>
  <pivotFields count="8">
    <pivotField showAll="0"/>
    <pivotField showAll="0"/>
    <pivotField axis="axisPage" showAll="0">
      <items count="34">
        <item x="27"/>
        <item x="30"/>
        <item x="17"/>
        <item x="3"/>
        <item x="32"/>
        <item x="25"/>
        <item x="22"/>
        <item x="0"/>
        <item x="29"/>
        <item x="24"/>
        <item x="4"/>
        <item x="31"/>
        <item x="5"/>
        <item x="26"/>
        <item x="1"/>
        <item x="8"/>
        <item x="19"/>
        <item x="15"/>
        <item x="9"/>
        <item x="16"/>
        <item x="13"/>
        <item x="20"/>
        <item x="14"/>
        <item x="6"/>
        <item x="10"/>
        <item x="12"/>
        <item x="18"/>
        <item x="21"/>
        <item x="23"/>
        <item x="7"/>
        <item x="28"/>
        <item x="2"/>
        <item x="11"/>
        <item t="default"/>
      </items>
    </pivotField>
    <pivotField showAll="0">
      <items count="8">
        <item x="4"/>
        <item x="0"/>
        <item x="1"/>
        <item x="6"/>
        <item x="5"/>
        <item x="3"/>
        <item x="2"/>
        <item t="default"/>
      </items>
    </pivotField>
    <pivotField dataField="1" numFmtId="2" showAll="0"/>
    <pivotField axis="axisRow" showAll="0">
      <items count="4">
        <item x="2"/>
        <item x="0"/>
        <item x="1"/>
        <item t="default"/>
      </items>
    </pivotField>
    <pivotField axis="axisPage" showAll="0">
      <items count="21">
        <item x="18"/>
        <item x="3"/>
        <item x="13"/>
        <item x="9"/>
        <item x="17"/>
        <item x="15"/>
        <item x="4"/>
        <item x="0"/>
        <item x="12"/>
        <item x="6"/>
        <item x="1"/>
        <item x="16"/>
        <item x="10"/>
        <item x="19"/>
        <item x="5"/>
        <item x="8"/>
        <item x="11"/>
        <item x="2"/>
        <item x="7"/>
        <item x="14"/>
        <item t="default"/>
      </items>
    </pivotField>
    <pivotField showAll="0"/>
  </pivotFields>
  <rowFields count="1">
    <field x="5"/>
  </rowFields>
  <rowItems count="4">
    <i>
      <x/>
    </i>
    <i>
      <x v="1"/>
    </i>
    <i>
      <x v="2"/>
    </i>
    <i t="grand">
      <x/>
    </i>
  </rowItems>
  <colItems count="1">
    <i/>
  </colItems>
  <pageFields count="2">
    <pageField fld="6" hier="-1"/>
    <pageField fld="2" hier="-1"/>
  </pageFields>
  <dataFields count="1">
    <dataField name="Procent" fld="4"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32A927-1A75-4741-AD76-ED3793A77261}" name="PivotTable2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E25" firstHeaderRow="1" firstDataRow="2" firstDataCol="1"/>
  <pivotFields count="8">
    <pivotField showAll="0"/>
    <pivotField showAll="0"/>
    <pivotField showAll="0"/>
    <pivotField showAll="0"/>
    <pivotField dataField="1" numFmtId="2" showAll="0"/>
    <pivotField axis="axisCol" showAll="0">
      <items count="4">
        <item x="2"/>
        <item x="0"/>
        <item x="1"/>
        <item t="default"/>
      </items>
    </pivotField>
    <pivotField axis="axisRow" showAll="0" sortType="ascending">
      <items count="21">
        <item x="18"/>
        <item x="3"/>
        <item x="13"/>
        <item x="9"/>
        <item x="17"/>
        <item x="15"/>
        <item x="4"/>
        <item x="0"/>
        <item x="12"/>
        <item x="6"/>
        <item x="1"/>
        <item x="16"/>
        <item x="10"/>
        <item x="19"/>
        <item x="5"/>
        <item x="8"/>
        <item x="11"/>
        <item x="2"/>
        <item x="7"/>
        <item x="14"/>
        <item t="default"/>
      </items>
      <autoSortScope>
        <pivotArea dataOnly="0" outline="0" fieldPosition="0">
          <references count="1">
            <reference field="4294967294" count="1" selected="0">
              <x v="0"/>
            </reference>
          </references>
        </pivotArea>
      </autoSortScope>
    </pivotField>
    <pivotField showAll="0"/>
  </pivotFields>
  <rowFields count="1">
    <field x="6"/>
  </rowFields>
  <rowItems count="21">
    <i>
      <x v="16"/>
    </i>
    <i>
      <x v="15"/>
    </i>
    <i>
      <x v="13"/>
    </i>
    <i>
      <x/>
    </i>
    <i>
      <x v="19"/>
    </i>
    <i>
      <x v="14"/>
    </i>
    <i>
      <x v="12"/>
    </i>
    <i>
      <x v="3"/>
    </i>
    <i>
      <x v="5"/>
    </i>
    <i>
      <x v="4"/>
    </i>
    <i>
      <x v="2"/>
    </i>
    <i>
      <x v="18"/>
    </i>
    <i>
      <x v="11"/>
    </i>
    <i>
      <x v="8"/>
    </i>
    <i>
      <x v="1"/>
    </i>
    <i>
      <x v="17"/>
    </i>
    <i>
      <x v="6"/>
    </i>
    <i>
      <x v="10"/>
    </i>
    <i>
      <x v="9"/>
    </i>
    <i>
      <x v="7"/>
    </i>
    <i t="grand">
      <x/>
    </i>
  </rowItems>
  <colFields count="1">
    <field x="5"/>
  </colFields>
  <colItems count="4">
    <i>
      <x/>
    </i>
    <i>
      <x v="1"/>
    </i>
    <i>
      <x v="2"/>
    </i>
    <i t="grand">
      <x/>
    </i>
  </colItems>
  <dataFields count="1">
    <dataField name="Sum of Valoare(lei)" fld="4" showDataAs="percentOfTotal" baseField="6" baseItem="15" numFmtId="10"/>
  </dataField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6" format="3" series="1">
      <pivotArea type="data" outline="0" fieldPosition="0">
        <references count="2">
          <reference field="4294967294" count="1" selected="0">
            <x v="0"/>
          </reference>
          <reference field="5" count="1" selected="0">
            <x v="0"/>
          </reference>
        </references>
      </pivotArea>
    </chartFormat>
    <chartFormat chart="6" format="4" series="1">
      <pivotArea type="data" outline="0" fieldPosition="0">
        <references count="2">
          <reference field="4294967294" count="1" selected="0">
            <x v="0"/>
          </reference>
          <reference field="5" count="1" selected="0">
            <x v="1"/>
          </reference>
        </references>
      </pivotArea>
    </chartFormat>
    <chartFormat chart="6" format="5"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6EE15E-BEC9-4FD5-93AA-0C21F98CE92B}" name="PivotTable2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B15" firstHeaderRow="1" firstDataRow="1" firstDataCol="1" rowPageCount="2" colPageCount="1"/>
  <pivotFields count="8">
    <pivotField dataField="1" showAll="0"/>
    <pivotField showAll="0"/>
    <pivotField showAll="0"/>
    <pivotField axis="axisPage" showAll="0">
      <items count="8">
        <item x="4"/>
        <item x="0"/>
        <item x="1"/>
        <item x="6"/>
        <item x="5"/>
        <item x="3"/>
        <item x="2"/>
        <item t="default"/>
      </items>
    </pivotField>
    <pivotField numFmtId="2" showAll="0"/>
    <pivotField axis="axisPage" showAll="0">
      <items count="4">
        <item x="2"/>
        <item x="0"/>
        <item x="1"/>
        <item t="default"/>
      </items>
    </pivotField>
    <pivotField axis="axisRow" showAll="0" measureFilter="1" sortType="ascending">
      <items count="21">
        <item x="18"/>
        <item x="3"/>
        <item x="13"/>
        <item x="9"/>
        <item x="17"/>
        <item x="15"/>
        <item x="4"/>
        <item x="0"/>
        <item x="12"/>
        <item x="6"/>
        <item x="1"/>
        <item x="16"/>
        <item x="10"/>
        <item x="19"/>
        <item x="5"/>
        <item x="8"/>
        <item x="11"/>
        <item x="2"/>
        <item x="7"/>
        <item x="14"/>
        <item t="default"/>
      </items>
      <autoSortScope>
        <pivotArea dataOnly="0" outline="0" fieldPosition="0">
          <references count="1">
            <reference field="4294967294" count="1" selected="0">
              <x v="0"/>
            </reference>
          </references>
        </pivotArea>
      </autoSortScope>
    </pivotField>
    <pivotField showAll="0"/>
  </pivotFields>
  <rowFields count="1">
    <field x="6"/>
  </rowFields>
  <rowItems count="11">
    <i>
      <x v="18"/>
    </i>
    <i>
      <x v="6"/>
    </i>
    <i>
      <x v="2"/>
    </i>
    <i>
      <x v="1"/>
    </i>
    <i>
      <x v="9"/>
    </i>
    <i>
      <x v="8"/>
    </i>
    <i>
      <x v="12"/>
    </i>
    <i>
      <x v="17"/>
    </i>
    <i>
      <x v="10"/>
    </i>
    <i>
      <x v="7"/>
    </i>
    <i t="grand">
      <x/>
    </i>
  </rowItems>
  <colItems count="1">
    <i/>
  </colItems>
  <pageFields count="2">
    <pageField fld="3" hier="-1"/>
    <pageField fld="5" hier="-1"/>
  </pageFields>
  <dataFields count="1">
    <dataField name="Count of ID_achiziție" fld="0" subtotal="count" baseField="0" baseItem="0"/>
  </dataFields>
  <chartFormats count="1">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E858F4-A7EB-4495-BCC2-3F69A0DA2570}" name="PivotTable2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10" firstHeaderRow="1" firstDataRow="1" firstDataCol="1"/>
  <pivotFields count="10">
    <pivotField dataField="1" showAll="0"/>
    <pivotField numFmtId="165" showAll="0">
      <items count="18">
        <item x="0"/>
        <item x="1"/>
        <item x="2"/>
        <item x="3"/>
        <item x="4"/>
        <item x="5"/>
        <item x="6"/>
        <item x="7"/>
        <item x="8"/>
        <item x="9"/>
        <item x="10"/>
        <item x="11"/>
        <item x="12"/>
        <item x="13"/>
        <item x="14"/>
        <item x="15"/>
        <item x="16"/>
        <item t="default"/>
      </items>
    </pivotField>
    <pivotField showAll="0"/>
    <pivotField numFmtId="2" showAll="0"/>
    <pivotField showAll="0"/>
    <pivotField numFmtId="2" showAll="0"/>
    <pivotField showAll="0">
      <items count="9">
        <item x="5"/>
        <item x="3"/>
        <item x="7"/>
        <item x="4"/>
        <item x="2"/>
        <item x="1"/>
        <item x="0"/>
        <item x="6"/>
        <item t="default"/>
      </items>
    </pivotField>
    <pivotField showAll="0"/>
    <pivotField showAll="0" defaultSubtotal="0"/>
    <pivotField axis="axisRow" showAll="0" defaultSubtotal="0">
      <items count="14">
        <item x="0"/>
        <item x="1"/>
        <item x="2"/>
        <item x="3"/>
        <item x="4"/>
        <item x="5"/>
        <item x="6"/>
        <item x="7"/>
        <item x="8"/>
        <item x="9"/>
        <item x="10"/>
        <item x="11"/>
        <item x="12"/>
        <item x="13"/>
      </items>
    </pivotField>
  </pivotFields>
  <rowFields count="1">
    <field x="9"/>
  </rowFields>
  <rowItems count="9">
    <i>
      <x v="1"/>
    </i>
    <i>
      <x v="2"/>
    </i>
    <i>
      <x v="3"/>
    </i>
    <i>
      <x v="4"/>
    </i>
    <i>
      <x v="5"/>
    </i>
    <i>
      <x v="6"/>
    </i>
    <i>
      <x v="8"/>
    </i>
    <i>
      <x v="9"/>
    </i>
    <i t="grand">
      <x/>
    </i>
  </rowItems>
  <colItems count="1">
    <i/>
  </colItems>
  <dataFields count="1">
    <dataField name="Count of ID_contract" fld="0" subtotal="count" baseField="0" baseItem="0"/>
  </dataFields>
  <chartFormats count="1">
    <chartFormat chart="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26F8B9-8E04-4ABE-8085-C6C30D964E5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24" firstHeaderRow="0" firstDataRow="1" firstDataCol="1"/>
  <pivotFields count="8">
    <pivotField dataField="1" showAll="0"/>
    <pivotField showAll="0"/>
    <pivotField showAll="0"/>
    <pivotField showAll="0"/>
    <pivotField dataField="1" numFmtId="2" showAll="0"/>
    <pivotField showAll="0"/>
    <pivotField axis="axisRow" showAll="0" sortType="ascending">
      <items count="21">
        <item x="18"/>
        <item x="3"/>
        <item x="13"/>
        <item x="9"/>
        <item x="17"/>
        <item x="15"/>
        <item x="4"/>
        <item x="0"/>
        <item x="12"/>
        <item x="6"/>
        <item x="1"/>
        <item x="16"/>
        <item x="10"/>
        <item x="19"/>
        <item x="5"/>
        <item x="8"/>
        <item x="11"/>
        <item x="2"/>
        <item x="7"/>
        <item x="14"/>
        <item t="default"/>
      </items>
      <autoSortScope>
        <pivotArea dataOnly="0" outline="0" fieldPosition="0">
          <references count="1">
            <reference field="4294967294" count="1" selected="0">
              <x v="0"/>
            </reference>
          </references>
        </pivotArea>
      </autoSortScope>
    </pivotField>
    <pivotField showAll="0"/>
  </pivotFields>
  <rowFields count="1">
    <field x="6"/>
  </rowFields>
  <rowItems count="21">
    <i>
      <x v="16"/>
    </i>
    <i>
      <x v="15"/>
    </i>
    <i>
      <x v="13"/>
    </i>
    <i>
      <x/>
    </i>
    <i>
      <x v="19"/>
    </i>
    <i>
      <x v="14"/>
    </i>
    <i>
      <x v="12"/>
    </i>
    <i>
      <x v="3"/>
    </i>
    <i>
      <x v="5"/>
    </i>
    <i>
      <x v="4"/>
    </i>
    <i>
      <x v="2"/>
    </i>
    <i>
      <x v="18"/>
    </i>
    <i>
      <x v="11"/>
    </i>
    <i>
      <x v="8"/>
    </i>
    <i>
      <x v="1"/>
    </i>
    <i>
      <x v="17"/>
    </i>
    <i>
      <x v="6"/>
    </i>
    <i>
      <x v="10"/>
    </i>
    <i>
      <x v="9"/>
    </i>
    <i>
      <x v="7"/>
    </i>
    <i t="grand">
      <x/>
    </i>
  </rowItems>
  <colFields count="1">
    <field x="-2"/>
  </colFields>
  <colItems count="2">
    <i>
      <x/>
    </i>
    <i i="1">
      <x v="1"/>
    </i>
  </colItems>
  <dataFields count="2">
    <dataField name="Total valoare(lei)" fld="4" baseField="6" baseItem="0" numFmtId="2"/>
    <dataField name="Total achiziții" fld="0" subtotal="count" baseField="6"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978012-3435-457B-A4FA-991698BBD4E5}" name="Table1" displayName="Table1" ref="J1:N5" headerRowCount="0" totalsRowShown="0" headerRowDxfId="17" dataDxfId="16">
  <tableColumns count="5">
    <tableColumn id="1" xr3:uid="{0BE91A02-9A2D-47BA-9AEB-A585A358FA96}" name="Column1" headerRowDxfId="15" dataDxfId="14"/>
    <tableColumn id="2" xr3:uid="{6318FFED-E323-4CFE-972E-DA8C31DA8D1F}" name="Column2" headerRowDxfId="13" dataDxfId="12"/>
    <tableColumn id="4" xr3:uid="{B4DF075C-F4A3-4914-B8DF-B9340B4506BB}" name="Column4" headerRowDxfId="11" dataDxfId="10"/>
    <tableColumn id="6" xr3:uid="{BF184C54-D5EC-490B-889A-60384BC4B7B6}" name="Column6" headerRowDxfId="9" dataDxfId="8"/>
    <tableColumn id="8" xr3:uid="{ABD33804-17C2-4DA9-AFB1-8D452EDAFE9A}" name="Column8" headerRowDxfId="7" dataDxfId="6"/>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556F1-DBFD-47F2-A053-F9EE4BD65971}">
  <dimension ref="A1:E29"/>
  <sheetViews>
    <sheetView topLeftCell="A10" zoomScaleNormal="100" workbookViewId="0">
      <selection activeCell="I13" sqref="I13"/>
    </sheetView>
  </sheetViews>
  <sheetFormatPr defaultRowHeight="14.4" x14ac:dyDescent="0.3"/>
  <cols>
    <col min="1" max="1" width="13.88671875" style="2" bestFit="1" customWidth="1"/>
    <col min="2" max="2" width="50.77734375" style="2" customWidth="1"/>
    <col min="3" max="3" width="14.21875" style="15" bestFit="1" customWidth="1"/>
    <col min="4" max="4" width="34.6640625" style="2" customWidth="1"/>
    <col min="5" max="5" width="9.33203125" style="2" bestFit="1" customWidth="1"/>
  </cols>
  <sheetData>
    <row r="1" spans="1:5" s="1" customFormat="1" x14ac:dyDescent="0.3">
      <c r="A1" s="1" t="s">
        <v>348</v>
      </c>
      <c r="B1" s="1" t="s">
        <v>379</v>
      </c>
      <c r="C1" s="14" t="s">
        <v>378</v>
      </c>
      <c r="D1" s="1" t="s">
        <v>380</v>
      </c>
      <c r="E1" s="1" t="s">
        <v>334</v>
      </c>
    </row>
    <row r="2" spans="1:5" x14ac:dyDescent="0.3">
      <c r="A2" s="2">
        <v>1</v>
      </c>
      <c r="B2" s="2" t="s">
        <v>550</v>
      </c>
      <c r="C2" s="15">
        <v>23</v>
      </c>
      <c r="D2" s="2" t="s">
        <v>411</v>
      </c>
      <c r="E2" s="2">
        <f>_xlfn.XLOOKUP(D2, Structură_conducere!B:B,Structură_conducere!A:A, "NU GASIT",0)</f>
        <v>101</v>
      </c>
    </row>
    <row r="3" spans="1:5" x14ac:dyDescent="0.3">
      <c r="A3" s="2">
        <v>2</v>
      </c>
      <c r="B3" s="2" t="s">
        <v>534</v>
      </c>
      <c r="C3" s="15">
        <v>84</v>
      </c>
      <c r="D3" s="2" t="s">
        <v>418</v>
      </c>
      <c r="E3" s="2">
        <f>_xlfn.XLOOKUP(D3, Structură_conducere!B:B,Structură_conducere!A:A, "NU GASIT",0)</f>
        <v>109</v>
      </c>
    </row>
    <row r="4" spans="1:5" x14ac:dyDescent="0.3">
      <c r="A4" s="2">
        <v>3</v>
      </c>
      <c r="B4" s="2" t="s">
        <v>535</v>
      </c>
      <c r="C4" s="15">
        <v>74</v>
      </c>
      <c r="D4" s="2" t="s">
        <v>428</v>
      </c>
      <c r="E4" s="2">
        <f>_xlfn.XLOOKUP(D4, Structură_conducere!B:B,Structură_conducere!A:A, "NU GASIT",0)</f>
        <v>119</v>
      </c>
    </row>
    <row r="5" spans="1:5" x14ac:dyDescent="0.3">
      <c r="A5" s="2">
        <v>4</v>
      </c>
      <c r="B5" s="2" t="s">
        <v>560</v>
      </c>
      <c r="C5" s="15">
        <v>48</v>
      </c>
      <c r="D5" s="2" t="s">
        <v>435</v>
      </c>
      <c r="E5" s="2">
        <f>_xlfn.XLOOKUP(D5, Structură_conducere!B:B,Structură_conducere!A:A, "NU GASIT",0)</f>
        <v>127</v>
      </c>
    </row>
    <row r="6" spans="1:5" x14ac:dyDescent="0.3">
      <c r="A6" s="2">
        <v>5</v>
      </c>
      <c r="B6" s="2" t="s">
        <v>551</v>
      </c>
      <c r="C6" s="15">
        <v>68</v>
      </c>
      <c r="D6" s="2" t="s">
        <v>440</v>
      </c>
      <c r="E6" s="2">
        <f>_xlfn.XLOOKUP(D6, Structură_conducere!B:B,Structură_conducere!A:A, "NU GASIT",0)</f>
        <v>132</v>
      </c>
    </row>
    <row r="7" spans="1:5" x14ac:dyDescent="0.3">
      <c r="A7" s="2">
        <v>6</v>
      </c>
      <c r="B7" s="2" t="s">
        <v>561</v>
      </c>
      <c r="C7" s="15">
        <v>124</v>
      </c>
      <c r="D7" s="2" t="s">
        <v>446</v>
      </c>
      <c r="E7" s="2">
        <f>_xlfn.XLOOKUP(D7, Structură_conducere!B:B,Structură_conducere!A:A, "NU GASIT",0)</f>
        <v>138</v>
      </c>
    </row>
    <row r="8" spans="1:5" x14ac:dyDescent="0.3">
      <c r="A8" s="2">
        <v>7</v>
      </c>
      <c r="B8" s="2" t="s">
        <v>536</v>
      </c>
      <c r="C8" s="15">
        <v>82</v>
      </c>
      <c r="D8" s="2" t="s">
        <v>458</v>
      </c>
      <c r="E8" s="2">
        <f>_xlfn.XLOOKUP(D8, Structură_conducere!B:B,Structură_conducere!A:A, "NU GASIT",0)</f>
        <v>150</v>
      </c>
    </row>
    <row r="9" spans="1:5" x14ac:dyDescent="0.3">
      <c r="A9" s="2">
        <v>8</v>
      </c>
      <c r="B9" s="2" t="s">
        <v>537</v>
      </c>
      <c r="C9" s="15">
        <v>43</v>
      </c>
      <c r="D9" s="2" t="s">
        <v>467</v>
      </c>
      <c r="E9" s="2">
        <f>_xlfn.XLOOKUP(D9, Structură_conducere!B:B,Structură_conducere!A:A, "NU GASIT",0)</f>
        <v>159</v>
      </c>
    </row>
    <row r="10" spans="1:5" x14ac:dyDescent="0.3">
      <c r="A10" s="2">
        <v>9</v>
      </c>
      <c r="B10" s="2" t="s">
        <v>552</v>
      </c>
      <c r="C10" s="15">
        <v>73</v>
      </c>
      <c r="D10" s="2" t="s">
        <v>471</v>
      </c>
      <c r="E10" s="2">
        <f>_xlfn.XLOOKUP(D10, Structură_conducere!B:B,Structură_conducere!A:A, "NU GASIT",0)</f>
        <v>164</v>
      </c>
    </row>
    <row r="11" spans="1:5" x14ac:dyDescent="0.3">
      <c r="A11" s="2">
        <v>10</v>
      </c>
      <c r="B11" s="2" t="s">
        <v>538</v>
      </c>
      <c r="C11" s="15">
        <v>127</v>
      </c>
      <c r="D11" s="2" t="s">
        <v>477</v>
      </c>
      <c r="E11" s="2">
        <f>_xlfn.XLOOKUP(D11, Structură_conducere!B:B,Structură_conducere!A:A, "NU GASIT",0)</f>
        <v>170</v>
      </c>
    </row>
    <row r="12" spans="1:5" x14ac:dyDescent="0.3">
      <c r="A12" s="2">
        <v>11</v>
      </c>
      <c r="B12" s="2" t="s">
        <v>539</v>
      </c>
      <c r="C12" s="15">
        <v>61</v>
      </c>
      <c r="D12" s="2" t="s">
        <v>484</v>
      </c>
      <c r="E12" s="2">
        <f>_xlfn.XLOOKUP(D12, Structură_conducere!B:B,Structură_conducere!A:A, "NU GASIT",0)</f>
        <v>177</v>
      </c>
    </row>
    <row r="13" spans="1:5" x14ac:dyDescent="0.3">
      <c r="A13" s="2">
        <v>12</v>
      </c>
      <c r="B13" s="2" t="s">
        <v>546</v>
      </c>
      <c r="C13" s="15">
        <v>45</v>
      </c>
      <c r="D13" s="2" t="s">
        <v>489</v>
      </c>
      <c r="E13" s="2">
        <f>_xlfn.XLOOKUP(D13, Structură_conducere!B:B,Structură_conducere!A:A, "NU GASIT",0)</f>
        <v>182</v>
      </c>
    </row>
    <row r="14" spans="1:5" x14ac:dyDescent="0.3">
      <c r="A14" s="2">
        <v>13</v>
      </c>
      <c r="B14" s="2" t="s">
        <v>540</v>
      </c>
      <c r="C14" s="15">
        <v>86</v>
      </c>
      <c r="D14" s="2" t="s">
        <v>495</v>
      </c>
      <c r="E14" s="2">
        <f>_xlfn.XLOOKUP(D14, Structură_conducere!B:B,Structură_conducere!A:A, "NU GASIT",0)</f>
        <v>188</v>
      </c>
    </row>
    <row r="15" spans="1:5" x14ac:dyDescent="0.3">
      <c r="A15" s="2">
        <v>14</v>
      </c>
      <c r="B15" s="2" t="s">
        <v>541</v>
      </c>
      <c r="C15" s="15">
        <v>27</v>
      </c>
      <c r="D15" s="2" t="s">
        <v>503</v>
      </c>
      <c r="E15" s="2">
        <f>_xlfn.XLOOKUP(D15, Structură_conducere!B:B,Structură_conducere!A:A, "NU GASIT",0)</f>
        <v>196</v>
      </c>
    </row>
    <row r="16" spans="1:5" x14ac:dyDescent="0.3">
      <c r="A16" s="2">
        <v>15</v>
      </c>
      <c r="B16" s="2" t="s">
        <v>556</v>
      </c>
      <c r="C16" s="15">
        <v>19</v>
      </c>
      <c r="D16" s="2" t="s">
        <v>507</v>
      </c>
      <c r="E16" s="2">
        <f>_xlfn.XLOOKUP(D16, Structură_conducere!B:B,Structură_conducere!A:A, "NU GASIT",0)</f>
        <v>200</v>
      </c>
    </row>
    <row r="17" spans="1:5" x14ac:dyDescent="0.3">
      <c r="A17" s="2">
        <v>16</v>
      </c>
      <c r="B17" s="2" t="s">
        <v>547</v>
      </c>
      <c r="C17" s="15">
        <v>16</v>
      </c>
      <c r="D17" s="2" t="s">
        <v>508</v>
      </c>
      <c r="E17" s="2">
        <f>_xlfn.XLOOKUP(D17, Structură_conducere!B:B,Structură_conducere!A:A, "NU GASIT",0)</f>
        <v>201</v>
      </c>
    </row>
    <row r="18" spans="1:5" x14ac:dyDescent="0.3">
      <c r="A18" s="2">
        <v>17</v>
      </c>
      <c r="B18" s="2" t="s">
        <v>542</v>
      </c>
      <c r="C18" s="15">
        <v>37</v>
      </c>
      <c r="D18" s="2" t="s">
        <v>509</v>
      </c>
      <c r="E18" s="2">
        <f>_xlfn.XLOOKUP(D18, Structură_conducere!B:B,Structură_conducere!A:A, "NU GASIT",0)</f>
        <v>202</v>
      </c>
    </row>
    <row r="19" spans="1:5" x14ac:dyDescent="0.3">
      <c r="A19" s="2">
        <v>18</v>
      </c>
      <c r="B19" s="2" t="s">
        <v>557</v>
      </c>
      <c r="C19" s="15">
        <v>28</v>
      </c>
      <c r="D19" s="2" t="s">
        <v>513</v>
      </c>
      <c r="E19" s="2">
        <f>_xlfn.XLOOKUP(D19, Structură_conducere!B:B,Structură_conducere!A:A, "NU GASIT",0)</f>
        <v>206</v>
      </c>
    </row>
    <row r="20" spans="1:5" x14ac:dyDescent="0.3">
      <c r="A20" s="2">
        <v>19</v>
      </c>
      <c r="B20" s="2" t="s">
        <v>543</v>
      </c>
      <c r="C20" s="15">
        <v>17</v>
      </c>
      <c r="D20" s="2" t="s">
        <v>517</v>
      </c>
      <c r="E20" s="2">
        <f>_xlfn.XLOOKUP(D20, Structură_conducere!B:B,Structură_conducere!A:A, "NU GASIT",0)</f>
        <v>210</v>
      </c>
    </row>
    <row r="21" spans="1:5" x14ac:dyDescent="0.3">
      <c r="A21" s="2">
        <v>20</v>
      </c>
      <c r="B21" s="2" t="s">
        <v>548</v>
      </c>
      <c r="C21" s="15">
        <v>25</v>
      </c>
      <c r="D21" s="2" t="s">
        <v>518</v>
      </c>
      <c r="E21" s="2">
        <f>_xlfn.XLOOKUP(D21, Structură_conducere!B:B,Structură_conducere!A:A, "NU GASIT",0)</f>
        <v>211</v>
      </c>
    </row>
    <row r="22" spans="1:5" x14ac:dyDescent="0.3">
      <c r="A22" s="2">
        <v>21</v>
      </c>
      <c r="B22" s="2" t="s">
        <v>562</v>
      </c>
      <c r="C22" s="15">
        <v>17</v>
      </c>
      <c r="D22" s="2" t="s">
        <v>521</v>
      </c>
      <c r="E22" s="2">
        <f>_xlfn.XLOOKUP(D22, Structură_conducere!B:B,Structură_conducere!A:A, "NU GASIT",0)</f>
        <v>214</v>
      </c>
    </row>
    <row r="23" spans="1:5" x14ac:dyDescent="0.3">
      <c r="A23" s="2">
        <v>22</v>
      </c>
      <c r="B23" s="2" t="s">
        <v>554</v>
      </c>
      <c r="C23" s="15">
        <v>23</v>
      </c>
      <c r="D23" s="2" t="s">
        <v>523</v>
      </c>
      <c r="E23" s="2">
        <f>_xlfn.XLOOKUP(D23, Structură_conducere!B:B,Structură_conducere!A:A, "NU GASIT",0)</f>
        <v>216</v>
      </c>
    </row>
    <row r="24" spans="1:5" x14ac:dyDescent="0.3">
      <c r="A24" s="2">
        <v>23</v>
      </c>
      <c r="B24" s="2" t="s">
        <v>563</v>
      </c>
      <c r="C24" s="15">
        <v>28</v>
      </c>
      <c r="D24" s="2" t="s">
        <v>525</v>
      </c>
      <c r="E24" s="2">
        <f>_xlfn.XLOOKUP(D24, Structură_conducere!B:B,Structură_conducere!A:A, "NU GASIT",0)</f>
        <v>218</v>
      </c>
    </row>
    <row r="25" spans="1:5" x14ac:dyDescent="0.3">
      <c r="A25" s="2">
        <v>24</v>
      </c>
      <c r="B25" s="2" t="s">
        <v>544</v>
      </c>
      <c r="C25" s="15">
        <v>8</v>
      </c>
      <c r="D25" s="2" t="s">
        <v>533</v>
      </c>
      <c r="E25" s="2">
        <f>_xlfn.XLOOKUP(D25, Structură_conducere!B:B,Structură_conducere!A:A, "NU GASIT",0)</f>
        <v>226</v>
      </c>
    </row>
    <row r="26" spans="1:5" x14ac:dyDescent="0.3">
      <c r="A26" s="2">
        <v>25</v>
      </c>
      <c r="B26" s="2" t="s">
        <v>559</v>
      </c>
      <c r="C26" s="15">
        <v>8</v>
      </c>
      <c r="D26" s="2" t="s">
        <v>485</v>
      </c>
      <c r="E26" s="2">
        <f>_xlfn.XLOOKUP(D26, Structură_conducere!B:B,Structură_conducere!A:A, "NU GASIT",0)</f>
        <v>178</v>
      </c>
    </row>
    <row r="27" spans="1:5" x14ac:dyDescent="0.3">
      <c r="A27" s="2">
        <v>26</v>
      </c>
      <c r="B27" s="2" t="s">
        <v>545</v>
      </c>
      <c r="C27" s="15">
        <v>6</v>
      </c>
      <c r="D27" s="2" t="s">
        <v>453</v>
      </c>
      <c r="E27" s="2">
        <f>_xlfn.XLOOKUP(D27, Structură_conducere!B:B,Structură_conducere!A:A, "NU GASIT",0)</f>
        <v>145</v>
      </c>
    </row>
    <row r="28" spans="1:5" x14ac:dyDescent="0.3">
      <c r="A28" s="2">
        <v>27</v>
      </c>
      <c r="B28" s="2" t="s">
        <v>558</v>
      </c>
      <c r="C28" s="15">
        <v>26</v>
      </c>
      <c r="D28" s="2" t="s">
        <v>528</v>
      </c>
      <c r="E28" s="2">
        <f>_xlfn.XLOOKUP(D28, Structură_conducere!B:B,Structură_conducere!A:A, "NU GASIT",0)</f>
        <v>221</v>
      </c>
    </row>
    <row r="29" spans="1:5" x14ac:dyDescent="0.3">
      <c r="A29" s="2">
        <v>28</v>
      </c>
      <c r="B29" s="2" t="s">
        <v>549</v>
      </c>
      <c r="C29" s="15">
        <v>25</v>
      </c>
      <c r="D29" s="2" t="s">
        <v>530</v>
      </c>
      <c r="E29" s="2">
        <f>_xlfn.XLOOKUP(D29, Structură_conducere!B:B,Structură_conducere!A:A, "NU GASIT",0)</f>
        <v>223</v>
      </c>
    </row>
  </sheetData>
  <conditionalFormatting sqref="C2:C29">
    <cfRule type="cellIs" dxfId="5" priority="7" operator="greaterThan">
      <formula>140.125</formula>
    </cfRule>
    <cfRule type="cellIs" dxfId="4" priority="8" operator="greaterThan">
      <formula>#REF!</formula>
    </cfRule>
  </conditionalFormatting>
  <dataValidations disablePrompts="1" count="1">
    <dataValidation type="list" allowBlank="1" showInputMessage="1" showErrorMessage="1" error="Angajatul nu exista in lista de conducere" sqref="D1 D3:D1048576" xr:uid="{9963A2CF-7336-46E8-871D-A56869DAEC98}">
      <formula1>$B:$B</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E150F-E4D4-46FF-AAD5-B0E6EA465D8B}">
  <dimension ref="A1:F124"/>
  <sheetViews>
    <sheetView topLeftCell="A100" zoomScale="85" zoomScaleNormal="85" workbookViewId="0">
      <selection activeCell="C8" sqref="C8"/>
    </sheetView>
  </sheetViews>
  <sheetFormatPr defaultRowHeight="14.4" x14ac:dyDescent="0.3"/>
  <cols>
    <col min="1" max="1" width="9.5546875" style="2" bestFit="1" customWidth="1"/>
    <col min="2" max="2" width="38.6640625" style="2" customWidth="1"/>
    <col min="3" max="3" width="46.77734375" style="2" customWidth="1"/>
    <col min="4" max="4" width="14.109375" style="3" customWidth="1"/>
    <col min="5" max="5" width="63.88671875" style="2" customWidth="1"/>
    <col min="6" max="6" width="10.109375" style="2" bestFit="1" customWidth="1"/>
  </cols>
  <sheetData>
    <row r="1" spans="1:6" s="1" customFormat="1" x14ac:dyDescent="0.3">
      <c r="A1" s="1" t="s">
        <v>334</v>
      </c>
      <c r="B1" s="1" t="s">
        <v>381</v>
      </c>
      <c r="C1" s="1" t="s">
        <v>39</v>
      </c>
      <c r="D1" s="11" t="s">
        <v>370</v>
      </c>
      <c r="E1" s="1" t="s">
        <v>371</v>
      </c>
      <c r="F1" s="1" t="s">
        <v>348</v>
      </c>
    </row>
    <row r="2" spans="1:6" x14ac:dyDescent="0.3">
      <c r="A2" s="2">
        <v>101</v>
      </c>
      <c r="B2" s="2" t="s">
        <v>411</v>
      </c>
      <c r="C2" s="2" t="s">
        <v>564</v>
      </c>
      <c r="D2" s="12">
        <v>24150</v>
      </c>
      <c r="E2" s="2" t="s">
        <v>550</v>
      </c>
      <c r="F2" s="2">
        <v>1</v>
      </c>
    </row>
    <row r="3" spans="1:6" x14ac:dyDescent="0.3">
      <c r="A3" s="2">
        <v>102</v>
      </c>
      <c r="B3" s="2" t="s">
        <v>412</v>
      </c>
      <c r="C3" s="2" t="s">
        <v>565</v>
      </c>
      <c r="D3" s="12">
        <v>21735</v>
      </c>
      <c r="E3" s="2" t="s">
        <v>550</v>
      </c>
      <c r="F3" s="2">
        <v>1</v>
      </c>
    </row>
    <row r="4" spans="1:6" x14ac:dyDescent="0.3">
      <c r="A4" s="2">
        <v>104</v>
      </c>
      <c r="B4" s="2" t="s">
        <v>413</v>
      </c>
      <c r="C4" s="2" t="s">
        <v>690</v>
      </c>
      <c r="D4" s="3">
        <v>9596</v>
      </c>
      <c r="E4" s="2" t="s">
        <v>573</v>
      </c>
      <c r="F4" s="2">
        <v>1</v>
      </c>
    </row>
    <row r="5" spans="1:6" x14ac:dyDescent="0.3">
      <c r="A5" s="2">
        <v>105</v>
      </c>
      <c r="B5" s="2" t="s">
        <v>414</v>
      </c>
      <c r="C5" s="2" t="s">
        <v>689</v>
      </c>
      <c r="D5" s="3">
        <v>20962</v>
      </c>
      <c r="E5" s="2" t="s">
        <v>574</v>
      </c>
      <c r="F5" s="2">
        <v>1</v>
      </c>
    </row>
    <row r="6" spans="1:6" x14ac:dyDescent="0.3">
      <c r="A6" s="2">
        <v>106</v>
      </c>
      <c r="B6" s="2" t="s">
        <v>415</v>
      </c>
      <c r="C6" s="2" t="s">
        <v>566</v>
      </c>
      <c r="D6" s="3">
        <v>20429</v>
      </c>
      <c r="E6" s="2" t="s">
        <v>550</v>
      </c>
      <c r="F6" s="2">
        <v>1</v>
      </c>
    </row>
    <row r="7" spans="1:6" x14ac:dyDescent="0.3">
      <c r="A7" s="2">
        <v>107</v>
      </c>
      <c r="B7" s="2" t="s">
        <v>416</v>
      </c>
      <c r="C7" s="2" t="s">
        <v>567</v>
      </c>
      <c r="D7" s="12">
        <v>15989</v>
      </c>
      <c r="E7" s="2" t="s">
        <v>575</v>
      </c>
      <c r="F7" s="2">
        <v>1</v>
      </c>
    </row>
    <row r="8" spans="1:6" x14ac:dyDescent="0.3">
      <c r="A8" s="2">
        <v>108</v>
      </c>
      <c r="B8" s="2" t="s">
        <v>417</v>
      </c>
      <c r="C8" s="2" t="s">
        <v>567</v>
      </c>
      <c r="D8" s="12">
        <v>15989</v>
      </c>
      <c r="E8" s="2" t="s">
        <v>666</v>
      </c>
      <c r="F8" s="2">
        <v>1</v>
      </c>
    </row>
    <row r="9" spans="1:6" x14ac:dyDescent="0.3">
      <c r="A9" s="2">
        <v>109</v>
      </c>
      <c r="B9" s="2" t="s">
        <v>418</v>
      </c>
      <c r="C9" s="2" t="s">
        <v>568</v>
      </c>
      <c r="D9" s="3">
        <v>20962</v>
      </c>
      <c r="E9" s="2" t="s">
        <v>576</v>
      </c>
      <c r="F9" s="2">
        <v>2</v>
      </c>
    </row>
    <row r="10" spans="1:6" x14ac:dyDescent="0.3">
      <c r="A10" s="2">
        <v>110</v>
      </c>
      <c r="B10" s="2" t="s">
        <v>419</v>
      </c>
      <c r="C10" s="2" t="s">
        <v>567</v>
      </c>
      <c r="D10" s="12">
        <v>15989</v>
      </c>
      <c r="E10" s="2" t="s">
        <v>577</v>
      </c>
      <c r="F10" s="2">
        <v>2</v>
      </c>
    </row>
    <row r="11" spans="1:6" x14ac:dyDescent="0.3">
      <c r="A11" s="2">
        <v>111</v>
      </c>
      <c r="B11" s="2" t="s">
        <v>420</v>
      </c>
      <c r="C11" s="2" t="s">
        <v>569</v>
      </c>
      <c r="D11" s="12">
        <v>15101</v>
      </c>
      <c r="E11" s="2" t="s">
        <v>578</v>
      </c>
      <c r="F11" s="2">
        <v>2</v>
      </c>
    </row>
    <row r="12" spans="1:6" x14ac:dyDescent="0.3">
      <c r="A12" s="2">
        <v>112</v>
      </c>
      <c r="B12" s="2" t="s">
        <v>421</v>
      </c>
      <c r="C12" s="2" t="s">
        <v>567</v>
      </c>
      <c r="D12" s="12">
        <v>15989</v>
      </c>
      <c r="E12" s="2" t="s">
        <v>579</v>
      </c>
      <c r="F12" s="2">
        <v>2</v>
      </c>
    </row>
    <row r="13" spans="1:6" x14ac:dyDescent="0.3">
      <c r="A13" s="2">
        <v>113</v>
      </c>
      <c r="B13" s="2" t="s">
        <v>422</v>
      </c>
      <c r="C13" s="2" t="s">
        <v>567</v>
      </c>
      <c r="D13" s="12">
        <v>15989</v>
      </c>
      <c r="E13" s="2" t="s">
        <v>580</v>
      </c>
      <c r="F13" s="2">
        <v>2</v>
      </c>
    </row>
    <row r="14" spans="1:6" x14ac:dyDescent="0.3">
      <c r="A14" s="2">
        <v>114</v>
      </c>
      <c r="B14" s="2" t="s">
        <v>423</v>
      </c>
      <c r="C14" s="2" t="s">
        <v>566</v>
      </c>
      <c r="D14" s="3">
        <v>20429</v>
      </c>
      <c r="E14" s="2" t="s">
        <v>581</v>
      </c>
      <c r="F14" s="2">
        <v>2</v>
      </c>
    </row>
    <row r="15" spans="1:6" x14ac:dyDescent="0.3">
      <c r="A15" s="2">
        <v>115</v>
      </c>
      <c r="B15" s="2" t="s">
        <v>424</v>
      </c>
      <c r="C15" s="2" t="s">
        <v>567</v>
      </c>
      <c r="D15" s="12">
        <v>15989</v>
      </c>
      <c r="E15" s="2" t="s">
        <v>675</v>
      </c>
      <c r="F15" s="2">
        <v>2</v>
      </c>
    </row>
    <row r="16" spans="1:6" x14ac:dyDescent="0.3">
      <c r="A16" s="2">
        <v>116</v>
      </c>
      <c r="B16" s="2" t="s">
        <v>425</v>
      </c>
      <c r="C16" s="2" t="s">
        <v>566</v>
      </c>
      <c r="D16" s="3">
        <v>20429</v>
      </c>
      <c r="E16" s="2" t="s">
        <v>667</v>
      </c>
      <c r="F16" s="2">
        <v>2</v>
      </c>
    </row>
    <row r="17" spans="1:6" x14ac:dyDescent="0.3">
      <c r="A17" s="2">
        <v>117</v>
      </c>
      <c r="B17" s="2" t="s">
        <v>426</v>
      </c>
      <c r="C17" s="2" t="s">
        <v>567</v>
      </c>
      <c r="D17" s="12">
        <v>15989</v>
      </c>
      <c r="E17" s="2" t="s">
        <v>582</v>
      </c>
      <c r="F17" s="2">
        <v>2</v>
      </c>
    </row>
    <row r="18" spans="1:6" x14ac:dyDescent="0.3">
      <c r="A18" s="2">
        <v>118</v>
      </c>
      <c r="B18" s="2" t="s">
        <v>427</v>
      </c>
      <c r="C18" s="2" t="s">
        <v>567</v>
      </c>
      <c r="D18" s="12">
        <v>15989</v>
      </c>
      <c r="E18" s="2" t="s">
        <v>583</v>
      </c>
      <c r="F18" s="2">
        <v>2</v>
      </c>
    </row>
    <row r="19" spans="1:6" x14ac:dyDescent="0.3">
      <c r="A19" s="2">
        <v>119</v>
      </c>
      <c r="B19" s="2" t="s">
        <v>428</v>
      </c>
      <c r="C19" s="2" t="s">
        <v>568</v>
      </c>
      <c r="D19" s="3">
        <v>20962</v>
      </c>
      <c r="E19" s="2" t="s">
        <v>584</v>
      </c>
      <c r="F19" s="2">
        <v>3</v>
      </c>
    </row>
    <row r="20" spans="1:6" x14ac:dyDescent="0.3">
      <c r="A20" s="2">
        <v>120</v>
      </c>
      <c r="B20" s="2" t="s">
        <v>429</v>
      </c>
      <c r="C20" s="2" t="s">
        <v>566</v>
      </c>
      <c r="D20" s="3">
        <v>20429</v>
      </c>
      <c r="E20" s="2" t="s">
        <v>585</v>
      </c>
      <c r="F20" s="2">
        <v>3</v>
      </c>
    </row>
    <row r="21" spans="1:6" x14ac:dyDescent="0.3">
      <c r="A21" s="2">
        <v>121</v>
      </c>
      <c r="B21" s="2" t="s">
        <v>430</v>
      </c>
      <c r="C21" s="2" t="s">
        <v>567</v>
      </c>
      <c r="D21" s="12">
        <v>15989</v>
      </c>
      <c r="E21" s="2" t="s">
        <v>586</v>
      </c>
      <c r="F21" s="2">
        <v>3</v>
      </c>
    </row>
    <row r="22" spans="1:6" x14ac:dyDescent="0.3">
      <c r="A22" s="2">
        <v>122</v>
      </c>
      <c r="B22" s="2" t="s">
        <v>431</v>
      </c>
      <c r="C22" s="2" t="s">
        <v>567</v>
      </c>
      <c r="D22" s="12">
        <v>15989</v>
      </c>
      <c r="E22" s="2" t="s">
        <v>587</v>
      </c>
      <c r="F22" s="2">
        <v>3</v>
      </c>
    </row>
    <row r="23" spans="1:6" x14ac:dyDescent="0.3">
      <c r="A23" s="2">
        <v>124</v>
      </c>
      <c r="B23" s="2" t="s">
        <v>432</v>
      </c>
      <c r="C23" s="2" t="s">
        <v>567</v>
      </c>
      <c r="D23" s="12">
        <v>15989</v>
      </c>
      <c r="E23" s="2" t="s">
        <v>588</v>
      </c>
      <c r="F23" s="2">
        <v>3</v>
      </c>
    </row>
    <row r="24" spans="1:6" x14ac:dyDescent="0.3">
      <c r="A24" s="2">
        <v>125</v>
      </c>
      <c r="B24" s="2" t="s">
        <v>433</v>
      </c>
      <c r="C24" s="2" t="s">
        <v>567</v>
      </c>
      <c r="D24" s="12">
        <v>15989</v>
      </c>
      <c r="E24" s="2" t="s">
        <v>654</v>
      </c>
      <c r="F24" s="2">
        <v>3</v>
      </c>
    </row>
    <row r="25" spans="1:6" x14ac:dyDescent="0.3">
      <c r="A25" s="2">
        <v>126</v>
      </c>
      <c r="B25" s="2" t="s">
        <v>434</v>
      </c>
      <c r="C25" s="2" t="s">
        <v>567</v>
      </c>
      <c r="D25" s="12">
        <v>15989</v>
      </c>
      <c r="E25" s="2" t="s">
        <v>589</v>
      </c>
      <c r="F25" s="2">
        <v>3</v>
      </c>
    </row>
    <row r="26" spans="1:6" x14ac:dyDescent="0.3">
      <c r="A26" s="2">
        <v>127</v>
      </c>
      <c r="B26" s="2" t="s">
        <v>435</v>
      </c>
      <c r="C26" s="2" t="s">
        <v>568</v>
      </c>
      <c r="D26" s="3">
        <v>20962</v>
      </c>
      <c r="E26" s="2" t="s">
        <v>650</v>
      </c>
      <c r="F26" s="2">
        <v>4</v>
      </c>
    </row>
    <row r="27" spans="1:6" x14ac:dyDescent="0.3">
      <c r="A27" s="2">
        <v>128</v>
      </c>
      <c r="B27" s="2" t="s">
        <v>436</v>
      </c>
      <c r="C27" s="2" t="s">
        <v>566</v>
      </c>
      <c r="D27" s="12">
        <v>20429</v>
      </c>
      <c r="E27" s="2" t="s">
        <v>590</v>
      </c>
      <c r="F27" s="2">
        <v>4</v>
      </c>
    </row>
    <row r="28" spans="1:6" x14ac:dyDescent="0.3">
      <c r="A28" s="2">
        <v>129</v>
      </c>
      <c r="B28" s="2" t="s">
        <v>437</v>
      </c>
      <c r="C28" s="2" t="s">
        <v>567</v>
      </c>
      <c r="D28" s="12">
        <v>15989</v>
      </c>
      <c r="E28" s="2" t="s">
        <v>591</v>
      </c>
      <c r="F28" s="2">
        <v>4</v>
      </c>
    </row>
    <row r="29" spans="1:6" x14ac:dyDescent="0.3">
      <c r="A29" s="2">
        <v>130</v>
      </c>
      <c r="B29" s="2" t="s">
        <v>438</v>
      </c>
      <c r="C29" s="2" t="s">
        <v>569</v>
      </c>
      <c r="D29" s="12">
        <v>15101</v>
      </c>
      <c r="E29" s="2" t="s">
        <v>668</v>
      </c>
      <c r="F29" s="2">
        <v>4</v>
      </c>
    </row>
    <row r="30" spans="1:6" x14ac:dyDescent="0.3">
      <c r="A30" s="2">
        <v>131</v>
      </c>
      <c r="B30" s="2" t="s">
        <v>439</v>
      </c>
      <c r="C30" s="2" t="s">
        <v>567</v>
      </c>
      <c r="D30" s="12">
        <v>15989</v>
      </c>
      <c r="E30" s="2" t="s">
        <v>592</v>
      </c>
      <c r="F30" s="2">
        <v>4</v>
      </c>
    </row>
    <row r="31" spans="1:6" x14ac:dyDescent="0.3">
      <c r="A31" s="2">
        <v>132</v>
      </c>
      <c r="B31" s="2" t="s">
        <v>440</v>
      </c>
      <c r="C31" s="2" t="s">
        <v>570</v>
      </c>
      <c r="D31" s="3">
        <v>20962</v>
      </c>
      <c r="E31" s="2" t="s">
        <v>677</v>
      </c>
      <c r="F31" s="2">
        <v>5</v>
      </c>
    </row>
    <row r="32" spans="1:6" x14ac:dyDescent="0.3">
      <c r="A32" s="2">
        <v>133</v>
      </c>
      <c r="B32" s="2" t="s">
        <v>441</v>
      </c>
      <c r="C32" s="2" t="s">
        <v>566</v>
      </c>
      <c r="D32" s="12">
        <v>20429</v>
      </c>
      <c r="E32" s="2" t="s">
        <v>593</v>
      </c>
      <c r="F32" s="2">
        <v>5</v>
      </c>
    </row>
    <row r="33" spans="1:6" x14ac:dyDescent="0.3">
      <c r="A33" s="2">
        <v>134</v>
      </c>
      <c r="B33" s="2" t="s">
        <v>442</v>
      </c>
      <c r="C33" s="2" t="s">
        <v>567</v>
      </c>
      <c r="D33" s="12">
        <v>15989</v>
      </c>
      <c r="E33" s="2" t="s">
        <v>655</v>
      </c>
      <c r="F33" s="2">
        <v>5</v>
      </c>
    </row>
    <row r="34" spans="1:6" x14ac:dyDescent="0.3">
      <c r="A34" s="2">
        <v>135</v>
      </c>
      <c r="B34" s="2" t="s">
        <v>443</v>
      </c>
      <c r="C34" s="2" t="s">
        <v>567</v>
      </c>
      <c r="D34" s="12">
        <v>15989</v>
      </c>
      <c r="E34" s="2" t="s">
        <v>656</v>
      </c>
      <c r="F34" s="2">
        <v>5</v>
      </c>
    </row>
    <row r="35" spans="1:6" x14ac:dyDescent="0.3">
      <c r="A35" s="2">
        <v>136</v>
      </c>
      <c r="B35" s="2" t="s">
        <v>444</v>
      </c>
      <c r="C35" s="2" t="s">
        <v>567</v>
      </c>
      <c r="D35" s="12">
        <v>15989</v>
      </c>
      <c r="E35" s="2" t="s">
        <v>594</v>
      </c>
      <c r="F35" s="2">
        <v>5</v>
      </c>
    </row>
    <row r="36" spans="1:6" x14ac:dyDescent="0.3">
      <c r="A36" s="2">
        <v>137</v>
      </c>
      <c r="B36" s="2" t="s">
        <v>445</v>
      </c>
      <c r="C36" s="2" t="s">
        <v>567</v>
      </c>
      <c r="D36" s="12">
        <v>15989</v>
      </c>
      <c r="E36" s="2" t="s">
        <v>595</v>
      </c>
      <c r="F36" s="2">
        <v>5</v>
      </c>
    </row>
    <row r="37" spans="1:6" x14ac:dyDescent="0.3">
      <c r="A37" s="2">
        <v>138</v>
      </c>
      <c r="B37" s="2" t="s">
        <v>446</v>
      </c>
      <c r="C37" s="2" t="s">
        <v>566</v>
      </c>
      <c r="D37" s="12">
        <v>20429</v>
      </c>
      <c r="E37" s="2" t="s">
        <v>596</v>
      </c>
      <c r="F37" s="2">
        <v>6</v>
      </c>
    </row>
    <row r="38" spans="1:6" x14ac:dyDescent="0.3">
      <c r="A38" s="2">
        <v>139</v>
      </c>
      <c r="B38" s="2" t="s">
        <v>447</v>
      </c>
      <c r="C38" s="2" t="s">
        <v>567</v>
      </c>
      <c r="D38" s="12">
        <v>15989</v>
      </c>
      <c r="E38" s="2" t="s">
        <v>597</v>
      </c>
      <c r="F38" s="2">
        <v>6</v>
      </c>
    </row>
    <row r="39" spans="1:6" x14ac:dyDescent="0.3">
      <c r="A39" s="2">
        <v>140</v>
      </c>
      <c r="B39" s="2" t="s">
        <v>448</v>
      </c>
      <c r="C39" s="2" t="s">
        <v>567</v>
      </c>
      <c r="D39" s="12">
        <v>15989</v>
      </c>
      <c r="E39" s="2" t="s">
        <v>598</v>
      </c>
      <c r="F39" s="2">
        <v>6</v>
      </c>
    </row>
    <row r="40" spans="1:6" x14ac:dyDescent="0.3">
      <c r="A40" s="2">
        <v>141</v>
      </c>
      <c r="B40" s="2" t="s">
        <v>449</v>
      </c>
      <c r="C40" s="2" t="s">
        <v>569</v>
      </c>
      <c r="D40" s="12">
        <v>15101</v>
      </c>
      <c r="E40" s="2" t="s">
        <v>664</v>
      </c>
      <c r="F40" s="2">
        <v>6</v>
      </c>
    </row>
    <row r="41" spans="1:6" x14ac:dyDescent="0.3">
      <c r="A41" s="2">
        <v>142</v>
      </c>
      <c r="B41" s="2" t="s">
        <v>450</v>
      </c>
      <c r="C41" s="2" t="s">
        <v>566</v>
      </c>
      <c r="D41" s="12">
        <v>20429</v>
      </c>
      <c r="E41" s="2" t="s">
        <v>678</v>
      </c>
      <c r="F41" s="2">
        <v>6</v>
      </c>
    </row>
    <row r="42" spans="1:6" x14ac:dyDescent="0.3">
      <c r="A42" s="2">
        <v>143</v>
      </c>
      <c r="B42" s="2" t="s">
        <v>451</v>
      </c>
      <c r="C42" s="2" t="s">
        <v>567</v>
      </c>
      <c r="D42" s="12">
        <v>15989</v>
      </c>
      <c r="E42" s="2" t="s">
        <v>657</v>
      </c>
      <c r="F42" s="2">
        <v>6</v>
      </c>
    </row>
    <row r="43" spans="1:6" x14ac:dyDescent="0.3">
      <c r="A43" s="2">
        <v>144</v>
      </c>
      <c r="B43" s="2" t="s">
        <v>452</v>
      </c>
      <c r="C43" s="2" t="s">
        <v>569</v>
      </c>
      <c r="D43" s="12">
        <v>15101</v>
      </c>
      <c r="E43" s="2" t="s">
        <v>599</v>
      </c>
      <c r="F43" s="2">
        <v>6</v>
      </c>
    </row>
    <row r="44" spans="1:6" x14ac:dyDescent="0.3">
      <c r="A44" s="2">
        <v>145</v>
      </c>
      <c r="B44" s="2" t="s">
        <v>453</v>
      </c>
      <c r="C44" s="2" t="s">
        <v>567</v>
      </c>
      <c r="D44" s="12">
        <v>15989</v>
      </c>
      <c r="E44" s="2" t="s">
        <v>679</v>
      </c>
      <c r="F44" s="2">
        <v>6</v>
      </c>
    </row>
    <row r="45" spans="1:6" x14ac:dyDescent="0.3">
      <c r="A45" s="2">
        <v>146</v>
      </c>
      <c r="B45" s="2" t="s">
        <v>454</v>
      </c>
      <c r="C45" s="2" t="s">
        <v>567</v>
      </c>
      <c r="D45" s="12">
        <v>15989</v>
      </c>
      <c r="E45" s="2" t="s">
        <v>600</v>
      </c>
      <c r="F45" s="2">
        <v>6</v>
      </c>
    </row>
    <row r="46" spans="1:6" x14ac:dyDescent="0.3">
      <c r="A46" s="2">
        <v>147</v>
      </c>
      <c r="B46" s="2" t="s">
        <v>455</v>
      </c>
      <c r="C46" s="2" t="s">
        <v>567</v>
      </c>
      <c r="D46" s="12">
        <v>15989</v>
      </c>
      <c r="E46" s="2" t="s">
        <v>601</v>
      </c>
      <c r="F46" s="2">
        <v>6</v>
      </c>
    </row>
    <row r="47" spans="1:6" x14ac:dyDescent="0.3">
      <c r="A47" s="2">
        <v>148</v>
      </c>
      <c r="B47" s="2" t="s">
        <v>456</v>
      </c>
      <c r="C47" s="2" t="s">
        <v>567</v>
      </c>
      <c r="D47" s="12">
        <v>15989</v>
      </c>
      <c r="E47" s="2" t="s">
        <v>651</v>
      </c>
      <c r="F47" s="2">
        <v>6</v>
      </c>
    </row>
    <row r="48" spans="1:6" x14ac:dyDescent="0.3">
      <c r="A48" s="2">
        <v>149</v>
      </c>
      <c r="B48" s="2" t="s">
        <v>457</v>
      </c>
      <c r="C48" s="2" t="s">
        <v>567</v>
      </c>
      <c r="D48" s="12">
        <v>15989</v>
      </c>
      <c r="E48" s="2" t="s">
        <v>602</v>
      </c>
      <c r="F48" s="2">
        <v>6</v>
      </c>
    </row>
    <row r="49" spans="1:6" x14ac:dyDescent="0.3">
      <c r="A49" s="2">
        <v>150</v>
      </c>
      <c r="B49" s="2" t="s">
        <v>458</v>
      </c>
      <c r="C49" s="2" t="s">
        <v>568</v>
      </c>
      <c r="D49" s="12">
        <v>20962</v>
      </c>
      <c r="E49" s="2" t="s">
        <v>603</v>
      </c>
      <c r="F49" s="2">
        <v>6</v>
      </c>
    </row>
    <row r="50" spans="1:6" x14ac:dyDescent="0.3">
      <c r="A50" s="2">
        <v>151</v>
      </c>
      <c r="B50" s="2" t="s">
        <v>459</v>
      </c>
      <c r="C50" s="2" t="s">
        <v>566</v>
      </c>
      <c r="D50" s="12">
        <v>20429</v>
      </c>
      <c r="E50" s="2" t="s">
        <v>604</v>
      </c>
      <c r="F50" s="2">
        <v>7</v>
      </c>
    </row>
    <row r="51" spans="1:6" x14ac:dyDescent="0.3">
      <c r="A51" s="2">
        <v>152</v>
      </c>
      <c r="B51" s="2" t="s">
        <v>460</v>
      </c>
      <c r="C51" s="2" t="s">
        <v>567</v>
      </c>
      <c r="D51" s="12">
        <v>15989</v>
      </c>
      <c r="E51" s="2" t="s">
        <v>658</v>
      </c>
      <c r="F51" s="2">
        <v>7</v>
      </c>
    </row>
    <row r="52" spans="1:6" x14ac:dyDescent="0.3">
      <c r="A52" s="2">
        <v>153</v>
      </c>
      <c r="B52" s="2" t="s">
        <v>461</v>
      </c>
      <c r="C52" s="2" t="s">
        <v>567</v>
      </c>
      <c r="D52" s="12">
        <v>15989</v>
      </c>
      <c r="E52" s="2" t="s">
        <v>605</v>
      </c>
      <c r="F52" s="2">
        <v>7</v>
      </c>
    </row>
    <row r="53" spans="1:6" x14ac:dyDescent="0.3">
      <c r="A53" s="2">
        <v>154</v>
      </c>
      <c r="B53" s="2" t="s">
        <v>462</v>
      </c>
      <c r="C53" s="2" t="s">
        <v>567</v>
      </c>
      <c r="D53" s="12">
        <v>15989</v>
      </c>
      <c r="E53" s="2" t="s">
        <v>606</v>
      </c>
      <c r="F53" s="2">
        <v>7</v>
      </c>
    </row>
    <row r="54" spans="1:6" x14ac:dyDescent="0.3">
      <c r="A54" s="2">
        <v>155</v>
      </c>
      <c r="B54" s="2" t="s">
        <v>463</v>
      </c>
      <c r="C54" s="2" t="s">
        <v>567</v>
      </c>
      <c r="D54" s="12">
        <v>15989</v>
      </c>
      <c r="E54" s="2" t="s">
        <v>607</v>
      </c>
      <c r="F54" s="2">
        <v>7</v>
      </c>
    </row>
    <row r="55" spans="1:6" x14ac:dyDescent="0.3">
      <c r="A55" s="2">
        <v>156</v>
      </c>
      <c r="B55" s="2" t="s">
        <v>464</v>
      </c>
      <c r="C55" s="2" t="s">
        <v>567</v>
      </c>
      <c r="D55" s="12">
        <v>15989</v>
      </c>
      <c r="E55" s="2" t="s">
        <v>608</v>
      </c>
      <c r="F55" s="2">
        <v>7</v>
      </c>
    </row>
    <row r="56" spans="1:6" x14ac:dyDescent="0.3">
      <c r="A56" s="2">
        <v>157</v>
      </c>
      <c r="B56" s="2" t="s">
        <v>465</v>
      </c>
      <c r="C56" s="2" t="s">
        <v>567</v>
      </c>
      <c r="D56" s="12">
        <v>15989</v>
      </c>
      <c r="E56" s="2" t="s">
        <v>669</v>
      </c>
      <c r="F56" s="2">
        <v>7</v>
      </c>
    </row>
    <row r="57" spans="1:6" x14ac:dyDescent="0.3">
      <c r="A57" s="2">
        <v>158</v>
      </c>
      <c r="B57" s="2" t="s">
        <v>466</v>
      </c>
      <c r="C57" s="2" t="s">
        <v>567</v>
      </c>
      <c r="D57" s="12">
        <v>15989</v>
      </c>
      <c r="E57" s="2" t="s">
        <v>665</v>
      </c>
      <c r="F57" s="2">
        <v>7</v>
      </c>
    </row>
    <row r="58" spans="1:6" x14ac:dyDescent="0.3">
      <c r="A58" s="2">
        <v>159</v>
      </c>
      <c r="B58" s="2" t="s">
        <v>467</v>
      </c>
      <c r="C58" s="2" t="s">
        <v>568</v>
      </c>
      <c r="D58" s="12">
        <v>20962</v>
      </c>
      <c r="E58" s="2" t="s">
        <v>609</v>
      </c>
      <c r="F58" s="2">
        <v>8</v>
      </c>
    </row>
    <row r="59" spans="1:6" x14ac:dyDescent="0.3">
      <c r="A59" s="2">
        <v>161</v>
      </c>
      <c r="B59" s="2" t="s">
        <v>468</v>
      </c>
      <c r="C59" s="2" t="s">
        <v>566</v>
      </c>
      <c r="D59" s="12">
        <v>20429</v>
      </c>
      <c r="E59" s="2" t="s">
        <v>610</v>
      </c>
      <c r="F59" s="2">
        <v>8</v>
      </c>
    </row>
    <row r="60" spans="1:6" x14ac:dyDescent="0.3">
      <c r="A60" s="2">
        <v>162</v>
      </c>
      <c r="B60" s="2" t="s">
        <v>469</v>
      </c>
      <c r="C60" s="2" t="s">
        <v>567</v>
      </c>
      <c r="D60" s="12">
        <v>15989</v>
      </c>
      <c r="E60" s="2" t="s">
        <v>611</v>
      </c>
      <c r="F60" s="2">
        <v>8</v>
      </c>
    </row>
    <row r="61" spans="1:6" x14ac:dyDescent="0.3">
      <c r="A61" s="2">
        <v>163</v>
      </c>
      <c r="B61" s="2" t="s">
        <v>470</v>
      </c>
      <c r="C61" s="2" t="s">
        <v>567</v>
      </c>
      <c r="D61" s="12">
        <v>15989</v>
      </c>
      <c r="E61" s="2" t="s">
        <v>612</v>
      </c>
      <c r="F61" s="2">
        <v>8</v>
      </c>
    </row>
    <row r="62" spans="1:6" x14ac:dyDescent="0.3">
      <c r="A62" s="2">
        <v>164</v>
      </c>
      <c r="B62" s="2" t="s">
        <v>471</v>
      </c>
      <c r="C62" s="2" t="s">
        <v>568</v>
      </c>
      <c r="D62" s="12">
        <v>20962</v>
      </c>
      <c r="E62" s="2" t="s">
        <v>659</v>
      </c>
      <c r="F62" s="2">
        <v>9</v>
      </c>
    </row>
    <row r="63" spans="1:6" x14ac:dyDescent="0.3">
      <c r="A63" s="2">
        <v>165</v>
      </c>
      <c r="B63" s="2" t="s">
        <v>472</v>
      </c>
      <c r="C63" s="2" t="s">
        <v>567</v>
      </c>
      <c r="D63" s="12">
        <v>15989</v>
      </c>
      <c r="E63" s="2" t="s">
        <v>613</v>
      </c>
      <c r="F63" s="2">
        <v>9</v>
      </c>
    </row>
    <row r="64" spans="1:6" x14ac:dyDescent="0.3">
      <c r="A64" s="2">
        <v>166</v>
      </c>
      <c r="B64" s="2" t="s">
        <v>473</v>
      </c>
      <c r="C64" s="2" t="s">
        <v>571</v>
      </c>
      <c r="D64" s="3">
        <v>17232</v>
      </c>
      <c r="E64" s="2" t="s">
        <v>676</v>
      </c>
      <c r="F64" s="2">
        <v>9</v>
      </c>
    </row>
    <row r="65" spans="1:6" x14ac:dyDescent="0.3">
      <c r="A65" s="2">
        <v>167</v>
      </c>
      <c r="B65" s="2" t="s">
        <v>474</v>
      </c>
      <c r="C65" s="2" t="s">
        <v>566</v>
      </c>
      <c r="D65" s="12">
        <v>20429</v>
      </c>
      <c r="E65" s="2" t="s">
        <v>614</v>
      </c>
      <c r="F65" s="2">
        <v>9</v>
      </c>
    </row>
    <row r="66" spans="1:6" x14ac:dyDescent="0.3">
      <c r="A66" s="2">
        <v>168</v>
      </c>
      <c r="B66" s="2" t="s">
        <v>475</v>
      </c>
      <c r="C66" s="2" t="s">
        <v>567</v>
      </c>
      <c r="D66" s="12">
        <v>15989</v>
      </c>
      <c r="E66" s="2" t="s">
        <v>615</v>
      </c>
      <c r="F66" s="2">
        <v>9</v>
      </c>
    </row>
    <row r="67" spans="1:6" x14ac:dyDescent="0.3">
      <c r="A67" s="2">
        <v>169</v>
      </c>
      <c r="B67" s="2" t="s">
        <v>476</v>
      </c>
      <c r="C67" s="2" t="s">
        <v>567</v>
      </c>
      <c r="D67" s="12">
        <v>15989</v>
      </c>
      <c r="E67" s="2" t="s">
        <v>616</v>
      </c>
      <c r="F67" s="2">
        <v>9</v>
      </c>
    </row>
    <row r="68" spans="1:6" x14ac:dyDescent="0.3">
      <c r="A68" s="2">
        <v>170</v>
      </c>
      <c r="B68" s="2" t="s">
        <v>477</v>
      </c>
      <c r="C68" s="2" t="s">
        <v>568</v>
      </c>
      <c r="D68" s="12">
        <v>20962</v>
      </c>
      <c r="E68" s="2" t="s">
        <v>617</v>
      </c>
      <c r="F68" s="2">
        <v>10</v>
      </c>
    </row>
    <row r="69" spans="1:6" x14ac:dyDescent="0.3">
      <c r="A69" s="2">
        <v>171</v>
      </c>
      <c r="B69" s="2" t="s">
        <v>478</v>
      </c>
      <c r="C69" s="2" t="s">
        <v>566</v>
      </c>
      <c r="D69" s="12">
        <v>20429</v>
      </c>
      <c r="E69" s="2" t="s">
        <v>618</v>
      </c>
      <c r="F69" s="2">
        <v>10</v>
      </c>
    </row>
    <row r="70" spans="1:6" x14ac:dyDescent="0.3">
      <c r="A70" s="2">
        <v>172</v>
      </c>
      <c r="B70" s="2" t="s">
        <v>479</v>
      </c>
      <c r="C70" s="2" t="s">
        <v>567</v>
      </c>
      <c r="D70" s="12">
        <v>15989</v>
      </c>
      <c r="E70" s="2" t="s">
        <v>619</v>
      </c>
      <c r="F70" s="2">
        <v>10</v>
      </c>
    </row>
    <row r="71" spans="1:6" x14ac:dyDescent="0.3">
      <c r="A71" s="2">
        <v>173</v>
      </c>
      <c r="B71" s="2" t="s">
        <v>480</v>
      </c>
      <c r="C71" s="2" t="s">
        <v>567</v>
      </c>
      <c r="D71" s="12">
        <v>15989</v>
      </c>
      <c r="E71" s="2" t="s">
        <v>620</v>
      </c>
      <c r="F71" s="2">
        <v>10</v>
      </c>
    </row>
    <row r="72" spans="1:6" x14ac:dyDescent="0.3">
      <c r="A72" s="2">
        <v>174</v>
      </c>
      <c r="B72" s="2" t="s">
        <v>481</v>
      </c>
      <c r="C72" s="2" t="s">
        <v>571</v>
      </c>
      <c r="D72" s="3">
        <v>17232</v>
      </c>
      <c r="E72" s="2" t="s">
        <v>621</v>
      </c>
      <c r="F72" s="2">
        <v>11</v>
      </c>
    </row>
    <row r="73" spans="1:6" x14ac:dyDescent="0.3">
      <c r="A73" s="2">
        <v>175</v>
      </c>
      <c r="B73" s="2" t="s">
        <v>482</v>
      </c>
      <c r="C73" s="2" t="s">
        <v>567</v>
      </c>
      <c r="D73" s="12">
        <v>15989</v>
      </c>
      <c r="E73" s="2" t="s">
        <v>622</v>
      </c>
      <c r="F73" s="2">
        <v>11</v>
      </c>
    </row>
    <row r="74" spans="1:6" x14ac:dyDescent="0.3">
      <c r="A74" s="2">
        <v>176</v>
      </c>
      <c r="B74" s="2" t="s">
        <v>483</v>
      </c>
      <c r="C74" s="2" t="s">
        <v>567</v>
      </c>
      <c r="D74" s="12">
        <v>15989</v>
      </c>
      <c r="E74" s="2" t="s">
        <v>680</v>
      </c>
      <c r="F74" s="2">
        <v>11</v>
      </c>
    </row>
    <row r="75" spans="1:6" x14ac:dyDescent="0.3">
      <c r="A75" s="2">
        <v>177</v>
      </c>
      <c r="B75" s="2" t="s">
        <v>484</v>
      </c>
      <c r="C75" s="2" t="s">
        <v>566</v>
      </c>
      <c r="D75" s="12">
        <v>20429</v>
      </c>
      <c r="E75" s="2" t="s">
        <v>623</v>
      </c>
      <c r="F75" s="2">
        <v>11</v>
      </c>
    </row>
    <row r="76" spans="1:6" x14ac:dyDescent="0.3">
      <c r="A76" s="2">
        <v>178</v>
      </c>
      <c r="B76" s="2" t="s">
        <v>485</v>
      </c>
      <c r="C76" s="2" t="s">
        <v>567</v>
      </c>
      <c r="D76" s="12">
        <v>15989</v>
      </c>
      <c r="E76" s="2" t="s">
        <v>624</v>
      </c>
      <c r="F76" s="2">
        <v>11</v>
      </c>
    </row>
    <row r="77" spans="1:6" x14ac:dyDescent="0.3">
      <c r="A77" s="2">
        <v>179</v>
      </c>
      <c r="B77" s="2" t="s">
        <v>486</v>
      </c>
      <c r="C77" s="2" t="s">
        <v>567</v>
      </c>
      <c r="D77" s="12">
        <v>15989</v>
      </c>
      <c r="E77" s="2" t="s">
        <v>625</v>
      </c>
      <c r="F77" s="2">
        <v>11</v>
      </c>
    </row>
    <row r="78" spans="1:6" x14ac:dyDescent="0.3">
      <c r="A78" s="2">
        <v>180</v>
      </c>
      <c r="B78" s="2" t="s">
        <v>487</v>
      </c>
      <c r="C78" s="2" t="s">
        <v>567</v>
      </c>
      <c r="D78" s="12">
        <v>15989</v>
      </c>
      <c r="E78" s="2" t="s">
        <v>626</v>
      </c>
      <c r="F78" s="2">
        <v>11</v>
      </c>
    </row>
    <row r="79" spans="1:6" x14ac:dyDescent="0.3">
      <c r="A79" s="2">
        <v>181</v>
      </c>
      <c r="B79" s="2" t="s">
        <v>488</v>
      </c>
      <c r="C79" s="2" t="s">
        <v>569</v>
      </c>
      <c r="D79" s="12">
        <v>15101</v>
      </c>
      <c r="E79" s="2" t="s">
        <v>627</v>
      </c>
      <c r="F79" s="2">
        <v>11</v>
      </c>
    </row>
    <row r="80" spans="1:6" x14ac:dyDescent="0.3">
      <c r="A80" s="2">
        <v>182</v>
      </c>
      <c r="B80" s="2" t="s">
        <v>489</v>
      </c>
      <c r="C80" s="2" t="s">
        <v>566</v>
      </c>
      <c r="D80" s="12">
        <v>20429</v>
      </c>
      <c r="E80" s="2" t="s">
        <v>660</v>
      </c>
      <c r="F80" s="2">
        <v>12</v>
      </c>
    </row>
    <row r="81" spans="1:6" x14ac:dyDescent="0.3">
      <c r="A81" s="2">
        <v>183</v>
      </c>
      <c r="B81" s="2" t="s">
        <v>490</v>
      </c>
      <c r="C81" s="2" t="s">
        <v>572</v>
      </c>
      <c r="D81" s="3">
        <v>19540</v>
      </c>
      <c r="E81" s="2" t="s">
        <v>660</v>
      </c>
      <c r="F81" s="2">
        <v>12</v>
      </c>
    </row>
    <row r="82" spans="1:6" x14ac:dyDescent="0.3">
      <c r="A82" s="2">
        <v>184</v>
      </c>
      <c r="B82" s="2" t="s">
        <v>491</v>
      </c>
      <c r="C82" s="2" t="s">
        <v>567</v>
      </c>
      <c r="D82" s="12">
        <v>15989</v>
      </c>
      <c r="E82" s="2" t="s">
        <v>628</v>
      </c>
      <c r="F82" s="2">
        <v>12</v>
      </c>
    </row>
    <row r="83" spans="1:6" x14ac:dyDescent="0.3">
      <c r="A83" s="2">
        <v>185</v>
      </c>
      <c r="B83" s="2" t="s">
        <v>492</v>
      </c>
      <c r="C83" s="2" t="s">
        <v>567</v>
      </c>
      <c r="D83" s="12">
        <v>15989</v>
      </c>
      <c r="E83" s="2" t="s">
        <v>681</v>
      </c>
      <c r="F83" s="2">
        <v>12</v>
      </c>
    </row>
    <row r="84" spans="1:6" x14ac:dyDescent="0.3">
      <c r="A84" s="2">
        <v>186</v>
      </c>
      <c r="B84" s="2" t="s">
        <v>493</v>
      </c>
      <c r="C84" s="2" t="s">
        <v>567</v>
      </c>
      <c r="D84" s="12">
        <v>15989</v>
      </c>
      <c r="E84" s="2" t="s">
        <v>629</v>
      </c>
      <c r="F84" s="2">
        <v>12</v>
      </c>
    </row>
    <row r="85" spans="1:6" x14ac:dyDescent="0.3">
      <c r="A85" s="2">
        <v>187</v>
      </c>
      <c r="B85" s="2" t="s">
        <v>494</v>
      </c>
      <c r="C85" s="2" t="s">
        <v>567</v>
      </c>
      <c r="D85" s="12">
        <v>15989</v>
      </c>
      <c r="E85" s="2" t="s">
        <v>630</v>
      </c>
      <c r="F85" s="2">
        <v>12</v>
      </c>
    </row>
    <row r="86" spans="1:6" x14ac:dyDescent="0.3">
      <c r="A86" s="2">
        <v>188</v>
      </c>
      <c r="B86" s="2" t="s">
        <v>495</v>
      </c>
      <c r="C86" s="2" t="s">
        <v>566</v>
      </c>
      <c r="D86" s="12">
        <v>20429</v>
      </c>
      <c r="E86" s="2" t="s">
        <v>631</v>
      </c>
      <c r="F86" s="2">
        <v>13</v>
      </c>
    </row>
    <row r="87" spans="1:6" x14ac:dyDescent="0.3">
      <c r="A87" s="2">
        <v>189</v>
      </c>
      <c r="B87" s="2" t="s">
        <v>496</v>
      </c>
      <c r="C87" s="2" t="s">
        <v>572</v>
      </c>
      <c r="D87" s="3">
        <v>19540</v>
      </c>
      <c r="E87" s="2" t="s">
        <v>631</v>
      </c>
      <c r="F87" s="2">
        <v>13</v>
      </c>
    </row>
    <row r="88" spans="1:6" x14ac:dyDescent="0.3">
      <c r="A88" s="2">
        <v>190</v>
      </c>
      <c r="B88" s="2" t="s">
        <v>497</v>
      </c>
      <c r="C88" s="2" t="s">
        <v>567</v>
      </c>
      <c r="D88" s="12">
        <v>15989</v>
      </c>
      <c r="E88" s="2" t="s">
        <v>682</v>
      </c>
      <c r="F88" s="2">
        <v>13</v>
      </c>
    </row>
    <row r="89" spans="1:6" x14ac:dyDescent="0.3">
      <c r="A89" s="2">
        <v>191</v>
      </c>
      <c r="B89" s="2" t="s">
        <v>498</v>
      </c>
      <c r="C89" s="2" t="s">
        <v>569</v>
      </c>
      <c r="D89" s="12">
        <v>15101</v>
      </c>
      <c r="E89" s="2" t="s">
        <v>683</v>
      </c>
      <c r="F89" s="2">
        <v>13</v>
      </c>
    </row>
    <row r="90" spans="1:6" x14ac:dyDescent="0.3">
      <c r="A90" s="2">
        <v>192</v>
      </c>
      <c r="B90" s="2" t="s">
        <v>499</v>
      </c>
      <c r="C90" s="2" t="s">
        <v>567</v>
      </c>
      <c r="D90" s="12">
        <v>15989</v>
      </c>
      <c r="E90" s="2" t="s">
        <v>684</v>
      </c>
      <c r="F90" s="2">
        <v>13</v>
      </c>
    </row>
    <row r="91" spans="1:6" x14ac:dyDescent="0.3">
      <c r="A91" s="2">
        <v>193</v>
      </c>
      <c r="B91" s="2" t="s">
        <v>500</v>
      </c>
      <c r="C91" s="2" t="s">
        <v>569</v>
      </c>
      <c r="D91" s="12">
        <v>15101</v>
      </c>
      <c r="E91" s="2" t="s">
        <v>632</v>
      </c>
      <c r="F91" s="2">
        <v>13</v>
      </c>
    </row>
    <row r="92" spans="1:6" x14ac:dyDescent="0.3">
      <c r="A92" s="2">
        <v>194</v>
      </c>
      <c r="B92" s="2" t="s">
        <v>501</v>
      </c>
      <c r="C92" s="2" t="s">
        <v>569</v>
      </c>
      <c r="D92" s="12">
        <v>15101</v>
      </c>
      <c r="E92" s="2" t="s">
        <v>633</v>
      </c>
      <c r="F92" s="2">
        <v>13</v>
      </c>
    </row>
    <row r="93" spans="1:6" x14ac:dyDescent="0.3">
      <c r="A93" s="2">
        <v>195</v>
      </c>
      <c r="B93" s="2" t="s">
        <v>502</v>
      </c>
      <c r="C93" s="2" t="s">
        <v>567</v>
      </c>
      <c r="D93" s="12">
        <v>15989</v>
      </c>
      <c r="E93" s="2" t="s">
        <v>634</v>
      </c>
      <c r="F93" s="2">
        <v>13</v>
      </c>
    </row>
    <row r="94" spans="1:6" x14ac:dyDescent="0.3">
      <c r="A94" s="2">
        <v>196</v>
      </c>
      <c r="B94" s="2" t="s">
        <v>503</v>
      </c>
      <c r="C94" s="2" t="s">
        <v>566</v>
      </c>
      <c r="D94" s="12">
        <v>20429</v>
      </c>
      <c r="E94" s="2" t="s">
        <v>635</v>
      </c>
      <c r="F94" s="2">
        <v>14</v>
      </c>
    </row>
    <row r="95" spans="1:6" x14ac:dyDescent="0.3">
      <c r="A95" s="2">
        <v>197</v>
      </c>
      <c r="B95" s="2" t="s">
        <v>504</v>
      </c>
      <c r="C95" s="2" t="s">
        <v>567</v>
      </c>
      <c r="D95" s="12">
        <v>15989</v>
      </c>
      <c r="E95" s="2" t="s">
        <v>670</v>
      </c>
      <c r="F95" s="2">
        <v>14</v>
      </c>
    </row>
    <row r="96" spans="1:6" x14ac:dyDescent="0.3">
      <c r="A96" s="2">
        <v>198</v>
      </c>
      <c r="B96" s="2" t="s">
        <v>505</v>
      </c>
      <c r="C96" s="2" t="s">
        <v>567</v>
      </c>
      <c r="D96" s="12">
        <v>15989</v>
      </c>
      <c r="E96" s="2" t="s">
        <v>636</v>
      </c>
      <c r="F96" s="2">
        <v>14</v>
      </c>
    </row>
    <row r="97" spans="1:6" x14ac:dyDescent="0.3">
      <c r="A97" s="2">
        <v>199</v>
      </c>
      <c r="B97" s="2" t="s">
        <v>506</v>
      </c>
      <c r="C97" s="2" t="s">
        <v>567</v>
      </c>
      <c r="D97" s="12">
        <v>20429</v>
      </c>
      <c r="E97" s="2" t="s">
        <v>637</v>
      </c>
      <c r="F97" s="2">
        <v>14</v>
      </c>
    </row>
    <row r="98" spans="1:6" x14ac:dyDescent="0.3">
      <c r="A98" s="2">
        <v>200</v>
      </c>
      <c r="B98" s="2" t="s">
        <v>507</v>
      </c>
      <c r="C98" s="2" t="s">
        <v>566</v>
      </c>
      <c r="D98" s="12">
        <v>20429</v>
      </c>
      <c r="E98" s="2" t="s">
        <v>671</v>
      </c>
      <c r="F98" s="2">
        <v>15</v>
      </c>
    </row>
    <row r="99" spans="1:6" x14ac:dyDescent="0.3">
      <c r="A99" s="2">
        <v>201</v>
      </c>
      <c r="B99" s="2" t="s">
        <v>508</v>
      </c>
      <c r="C99" s="2" t="s">
        <v>566</v>
      </c>
      <c r="D99" s="12">
        <v>20429</v>
      </c>
      <c r="E99" s="2" t="s">
        <v>661</v>
      </c>
      <c r="F99" s="2">
        <v>16</v>
      </c>
    </row>
    <row r="100" spans="1:6" x14ac:dyDescent="0.3">
      <c r="A100" s="2">
        <v>202</v>
      </c>
      <c r="B100" s="2" t="s">
        <v>509</v>
      </c>
      <c r="C100" s="2" t="s">
        <v>566</v>
      </c>
      <c r="D100" s="12">
        <v>20429</v>
      </c>
      <c r="E100" s="2" t="s">
        <v>638</v>
      </c>
      <c r="F100" s="2">
        <v>17</v>
      </c>
    </row>
    <row r="101" spans="1:6" x14ac:dyDescent="0.3">
      <c r="A101" s="2">
        <v>203</v>
      </c>
      <c r="B101" s="2" t="s">
        <v>510</v>
      </c>
      <c r="C101" s="2" t="s">
        <v>567</v>
      </c>
      <c r="D101" s="12">
        <v>15989</v>
      </c>
      <c r="E101" s="2" t="s">
        <v>639</v>
      </c>
      <c r="F101" s="2">
        <v>17</v>
      </c>
    </row>
    <row r="102" spans="1:6" x14ac:dyDescent="0.3">
      <c r="A102" s="2">
        <v>204</v>
      </c>
      <c r="B102" s="2" t="s">
        <v>511</v>
      </c>
      <c r="C102" s="2" t="s">
        <v>567</v>
      </c>
      <c r="D102" s="12">
        <v>15989</v>
      </c>
      <c r="E102" s="2" t="s">
        <v>640</v>
      </c>
      <c r="F102" s="2">
        <v>17</v>
      </c>
    </row>
    <row r="103" spans="1:6" x14ac:dyDescent="0.3">
      <c r="A103" s="2">
        <v>205</v>
      </c>
      <c r="B103" s="2" t="s">
        <v>512</v>
      </c>
      <c r="C103" s="2" t="s">
        <v>567</v>
      </c>
      <c r="D103" s="12">
        <v>15989</v>
      </c>
      <c r="E103" s="2" t="s">
        <v>641</v>
      </c>
      <c r="F103" s="2">
        <v>17</v>
      </c>
    </row>
    <row r="104" spans="1:6" x14ac:dyDescent="0.3">
      <c r="A104" s="2">
        <v>206</v>
      </c>
      <c r="B104" s="2" t="s">
        <v>513</v>
      </c>
      <c r="C104" s="2" t="s">
        <v>566</v>
      </c>
      <c r="D104" s="12">
        <v>20429</v>
      </c>
      <c r="E104" s="2" t="s">
        <v>642</v>
      </c>
      <c r="F104" s="2">
        <v>18</v>
      </c>
    </row>
    <row r="105" spans="1:6" x14ac:dyDescent="0.3">
      <c r="A105" s="2">
        <v>207</v>
      </c>
      <c r="B105" s="2" t="s">
        <v>514</v>
      </c>
      <c r="C105" s="2" t="s">
        <v>567</v>
      </c>
      <c r="D105" s="12">
        <v>15989</v>
      </c>
      <c r="E105" s="2" t="s">
        <v>662</v>
      </c>
      <c r="F105" s="2">
        <v>18</v>
      </c>
    </row>
    <row r="106" spans="1:6" x14ac:dyDescent="0.3">
      <c r="A106" s="2">
        <v>208</v>
      </c>
      <c r="B106" s="2" t="s">
        <v>515</v>
      </c>
      <c r="C106" s="2" t="s">
        <v>567</v>
      </c>
      <c r="D106" s="12">
        <v>15989</v>
      </c>
      <c r="E106" s="2" t="s">
        <v>688</v>
      </c>
      <c r="F106" s="2">
        <v>18</v>
      </c>
    </row>
    <row r="107" spans="1:6" x14ac:dyDescent="0.3">
      <c r="A107" s="2">
        <v>209</v>
      </c>
      <c r="B107" s="2" t="s">
        <v>516</v>
      </c>
      <c r="C107" s="2" t="s">
        <v>567</v>
      </c>
      <c r="D107" s="12">
        <v>15989</v>
      </c>
      <c r="E107" s="2" t="s">
        <v>643</v>
      </c>
      <c r="F107" s="2">
        <v>18</v>
      </c>
    </row>
    <row r="108" spans="1:6" x14ac:dyDescent="0.3">
      <c r="A108" s="2">
        <v>210</v>
      </c>
      <c r="B108" s="2" t="s">
        <v>517</v>
      </c>
      <c r="C108" s="2" t="s">
        <v>572</v>
      </c>
      <c r="D108" s="3">
        <v>19540</v>
      </c>
      <c r="E108" s="2" t="s">
        <v>644</v>
      </c>
      <c r="F108" s="2">
        <v>19</v>
      </c>
    </row>
    <row r="109" spans="1:6" x14ac:dyDescent="0.3">
      <c r="A109" s="2">
        <v>211</v>
      </c>
      <c r="B109" s="2" t="s">
        <v>518</v>
      </c>
      <c r="C109" s="2" t="s">
        <v>567</v>
      </c>
      <c r="D109" s="12">
        <v>20429</v>
      </c>
      <c r="E109" s="2" t="s">
        <v>645</v>
      </c>
      <c r="F109" s="2">
        <v>20</v>
      </c>
    </row>
    <row r="110" spans="1:6" x14ac:dyDescent="0.3">
      <c r="A110" s="2">
        <v>212</v>
      </c>
      <c r="B110" s="2" t="s">
        <v>519</v>
      </c>
      <c r="C110" s="2" t="s">
        <v>567</v>
      </c>
      <c r="D110" s="12">
        <v>20429</v>
      </c>
      <c r="E110" s="2" t="s">
        <v>652</v>
      </c>
      <c r="F110" s="2">
        <v>20</v>
      </c>
    </row>
    <row r="111" spans="1:6" x14ac:dyDescent="0.3">
      <c r="A111" s="2">
        <v>213</v>
      </c>
      <c r="B111" s="2" t="s">
        <v>520</v>
      </c>
      <c r="C111" s="2" t="s">
        <v>567</v>
      </c>
      <c r="D111" s="12">
        <v>20429</v>
      </c>
      <c r="E111" s="2" t="s">
        <v>646</v>
      </c>
      <c r="F111" s="2">
        <v>20</v>
      </c>
    </row>
    <row r="112" spans="1:6" x14ac:dyDescent="0.3">
      <c r="A112" s="2">
        <v>214</v>
      </c>
      <c r="B112" s="2" t="s">
        <v>521</v>
      </c>
      <c r="C112" s="2" t="s">
        <v>566</v>
      </c>
      <c r="D112" s="12">
        <v>20429</v>
      </c>
      <c r="E112" s="2" t="s">
        <v>687</v>
      </c>
      <c r="F112" s="2">
        <v>21</v>
      </c>
    </row>
    <row r="113" spans="1:6" x14ac:dyDescent="0.3">
      <c r="A113" s="2">
        <v>215</v>
      </c>
      <c r="B113" s="2" t="s">
        <v>522</v>
      </c>
      <c r="C113" s="2" t="s">
        <v>572</v>
      </c>
      <c r="D113" s="3">
        <v>19540</v>
      </c>
      <c r="E113" s="2" t="s">
        <v>687</v>
      </c>
      <c r="F113" s="2">
        <v>21</v>
      </c>
    </row>
    <row r="114" spans="1:6" x14ac:dyDescent="0.3">
      <c r="A114" s="2">
        <v>216</v>
      </c>
      <c r="B114" s="2" t="s">
        <v>523</v>
      </c>
      <c r="C114" s="2" t="s">
        <v>566</v>
      </c>
      <c r="D114" s="12">
        <v>20429</v>
      </c>
      <c r="E114" s="2" t="s">
        <v>686</v>
      </c>
      <c r="F114" s="2">
        <v>22</v>
      </c>
    </row>
    <row r="115" spans="1:6" x14ac:dyDescent="0.3">
      <c r="A115" s="2">
        <v>217</v>
      </c>
      <c r="B115" s="2" t="s">
        <v>524</v>
      </c>
      <c r="C115" s="2" t="s">
        <v>567</v>
      </c>
      <c r="D115" s="12">
        <v>15989</v>
      </c>
      <c r="E115" s="2" t="s">
        <v>663</v>
      </c>
      <c r="F115" s="2">
        <v>22</v>
      </c>
    </row>
    <row r="116" spans="1:6" x14ac:dyDescent="0.3">
      <c r="A116" s="2">
        <v>218</v>
      </c>
      <c r="B116" s="2" t="s">
        <v>525</v>
      </c>
      <c r="C116" s="2" t="s">
        <v>566</v>
      </c>
      <c r="D116" s="12">
        <v>20429</v>
      </c>
      <c r="E116" s="2" t="s">
        <v>653</v>
      </c>
      <c r="F116" s="2">
        <v>23</v>
      </c>
    </row>
    <row r="117" spans="1:6" x14ac:dyDescent="0.3">
      <c r="A117" s="2">
        <v>219</v>
      </c>
      <c r="B117" s="2" t="s">
        <v>526</v>
      </c>
      <c r="C117" s="2" t="s">
        <v>567</v>
      </c>
      <c r="D117" s="12">
        <v>15989</v>
      </c>
      <c r="E117" s="2" t="s">
        <v>647</v>
      </c>
      <c r="F117" s="2">
        <v>23</v>
      </c>
    </row>
    <row r="118" spans="1:6" x14ac:dyDescent="0.3">
      <c r="A118" s="2">
        <v>220</v>
      </c>
      <c r="B118" s="2" t="s">
        <v>527</v>
      </c>
      <c r="C118" s="2" t="s">
        <v>567</v>
      </c>
      <c r="D118" s="12">
        <v>15989</v>
      </c>
      <c r="E118" s="2" t="s">
        <v>648</v>
      </c>
      <c r="F118" s="2">
        <v>23</v>
      </c>
    </row>
    <row r="119" spans="1:6" x14ac:dyDescent="0.3">
      <c r="A119" s="2">
        <v>221</v>
      </c>
      <c r="B119" s="2" t="s">
        <v>528</v>
      </c>
      <c r="C119" s="2" t="s">
        <v>566</v>
      </c>
      <c r="D119" s="12">
        <v>20429</v>
      </c>
      <c r="E119" s="2" t="s">
        <v>672</v>
      </c>
      <c r="F119" s="2">
        <v>27</v>
      </c>
    </row>
    <row r="120" spans="1:6" x14ac:dyDescent="0.3">
      <c r="A120" s="2">
        <v>222</v>
      </c>
      <c r="B120" s="2" t="s">
        <v>529</v>
      </c>
      <c r="C120" s="2" t="s">
        <v>567</v>
      </c>
      <c r="D120" s="12">
        <v>15989</v>
      </c>
      <c r="E120" s="2" t="s">
        <v>685</v>
      </c>
      <c r="F120" s="2">
        <v>27</v>
      </c>
    </row>
    <row r="121" spans="1:6" x14ac:dyDescent="0.3">
      <c r="A121" s="2">
        <v>223</v>
      </c>
      <c r="B121" s="2" t="s">
        <v>530</v>
      </c>
      <c r="C121" s="2" t="s">
        <v>566</v>
      </c>
      <c r="D121" s="12">
        <v>20429</v>
      </c>
      <c r="E121" s="2" t="s">
        <v>549</v>
      </c>
      <c r="F121" s="2">
        <v>27</v>
      </c>
    </row>
    <row r="122" spans="1:6" x14ac:dyDescent="0.3">
      <c r="A122" s="2">
        <v>224</v>
      </c>
      <c r="B122" s="2" t="s">
        <v>531</v>
      </c>
      <c r="C122" s="2" t="s">
        <v>567</v>
      </c>
      <c r="D122" s="12">
        <v>15989</v>
      </c>
      <c r="E122" s="2" t="s">
        <v>673</v>
      </c>
      <c r="F122" s="2">
        <v>28</v>
      </c>
    </row>
    <row r="123" spans="1:6" x14ac:dyDescent="0.3">
      <c r="A123" s="2">
        <v>225</v>
      </c>
      <c r="B123" s="2" t="s">
        <v>532</v>
      </c>
      <c r="C123" s="2" t="s">
        <v>567</v>
      </c>
      <c r="D123" s="12">
        <v>15989</v>
      </c>
      <c r="E123" s="2" t="s">
        <v>674</v>
      </c>
      <c r="F123" s="2">
        <v>28</v>
      </c>
    </row>
    <row r="124" spans="1:6" x14ac:dyDescent="0.3">
      <c r="A124" s="2">
        <v>226</v>
      </c>
      <c r="B124" s="2" t="s">
        <v>533</v>
      </c>
      <c r="C124" s="2" t="s">
        <v>567</v>
      </c>
      <c r="D124" s="12">
        <v>15989</v>
      </c>
      <c r="E124" s="2" t="s">
        <v>649</v>
      </c>
      <c r="F124" s="2">
        <v>24</v>
      </c>
    </row>
  </sheetData>
  <autoFilter ref="B1:B124" xr:uid="{705E150F-E4D4-46FF-AAD5-B0E6EA465D8B}"/>
  <conditionalFormatting sqref="A1:A1048576">
    <cfRule type="duplicateValues" dxfId="3" priority="4"/>
  </conditionalFormatting>
  <conditionalFormatting sqref="B1:B1048576">
    <cfRule type="duplicateValues" dxfId="2" priority="2"/>
    <cfRule type="duplicateValues" dxfId="1" priority="6"/>
  </conditionalFormatting>
  <conditionalFormatting sqref="D2:D125">
    <cfRule type="cellIs" dxfId="0" priority="19" operator="greaterThan">
      <formula>#REF!</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error="Nu exista directia in lista" xr:uid="{F1962AB3-8DC8-4EC8-99DB-8343B77D9201}">
          <x14:formula1>
            <xm:f>Direcții!$B:$B</xm:f>
          </x14:formula1>
          <xm:sqref>E1:E1048576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69815-F735-4546-8AF8-6624C38ADB84}">
  <dimension ref="A1:H25"/>
  <sheetViews>
    <sheetView zoomScale="85" zoomScaleNormal="85" workbookViewId="0">
      <selection activeCell="E28" sqref="E28"/>
    </sheetView>
  </sheetViews>
  <sheetFormatPr defaultRowHeight="14.4" x14ac:dyDescent="0.3"/>
  <cols>
    <col min="1" max="1" width="10.5546875" style="2" bestFit="1" customWidth="1"/>
    <col min="2" max="2" width="19.109375" style="17" customWidth="1"/>
    <col min="3" max="3" width="36.109375" style="2" customWidth="1"/>
    <col min="4" max="4" width="20.5546875" style="3" hidden="1" customWidth="1"/>
    <col min="5" max="5" width="199.33203125" style="3" customWidth="1"/>
    <col min="6" max="6" width="15" style="3" customWidth="1"/>
    <col min="7" max="7" width="47.6640625" style="2" customWidth="1"/>
    <col min="8" max="8" width="8.88671875" style="2"/>
  </cols>
  <sheetData>
    <row r="1" spans="1:8" s="1" customFormat="1" x14ac:dyDescent="0.3">
      <c r="A1" s="1" t="s">
        <v>37</v>
      </c>
      <c r="B1" s="16" t="s">
        <v>386</v>
      </c>
      <c r="C1" s="1" t="s">
        <v>385</v>
      </c>
      <c r="D1" s="11" t="s">
        <v>382</v>
      </c>
      <c r="E1" s="11" t="s">
        <v>384</v>
      </c>
      <c r="F1" s="11" t="s">
        <v>382</v>
      </c>
      <c r="G1" s="1" t="s">
        <v>383</v>
      </c>
      <c r="H1" s="1" t="s">
        <v>348</v>
      </c>
    </row>
    <row r="2" spans="1:8" x14ac:dyDescent="0.3">
      <c r="A2" s="2">
        <v>202</v>
      </c>
      <c r="B2" s="17">
        <v>45673</v>
      </c>
      <c r="C2" s="2" t="s">
        <v>691</v>
      </c>
      <c r="D2" s="3">
        <v>42192</v>
      </c>
      <c r="E2" s="3" t="s">
        <v>692</v>
      </c>
      <c r="F2" s="21">
        <v>42192</v>
      </c>
      <c r="G2" s="2" t="s">
        <v>538</v>
      </c>
      <c r="H2" s="2">
        <f>_xlfn.XLOOKUP(G2, Direcții!B:B,Direcții!A:A, "NU GASIT",0)</f>
        <v>10</v>
      </c>
    </row>
    <row r="3" spans="1:8" x14ac:dyDescent="0.3">
      <c r="A3" s="2">
        <v>203</v>
      </c>
      <c r="B3" s="17">
        <v>45674</v>
      </c>
      <c r="C3" s="2" t="s">
        <v>0</v>
      </c>
      <c r="D3" s="3">
        <v>269400</v>
      </c>
      <c r="E3" s="3" t="s">
        <v>1</v>
      </c>
      <c r="F3" s="21">
        <v>269400</v>
      </c>
      <c r="G3" s="2" t="s">
        <v>538</v>
      </c>
      <c r="H3" s="2">
        <f>_xlfn.XLOOKUP(G3, Direcții!B:B,Direcții!A:A, "NU GASIT",0)</f>
        <v>10</v>
      </c>
    </row>
    <row r="4" spans="1:8" x14ac:dyDescent="0.3">
      <c r="A4" s="2">
        <v>204</v>
      </c>
      <c r="B4" s="17">
        <v>45688</v>
      </c>
      <c r="C4" s="2" t="s">
        <v>2</v>
      </c>
      <c r="D4" s="3">
        <v>200000</v>
      </c>
      <c r="E4" s="3" t="s">
        <v>3</v>
      </c>
      <c r="F4" s="21">
        <v>200000</v>
      </c>
      <c r="G4" s="2" t="s">
        <v>538</v>
      </c>
      <c r="H4" s="2">
        <f>_xlfn.XLOOKUP(G4, Direcții!B:B,Direcții!A:A, "NU GASIT",0)</f>
        <v>10</v>
      </c>
    </row>
    <row r="5" spans="1:8" x14ac:dyDescent="0.3">
      <c r="A5" s="2">
        <v>205</v>
      </c>
      <c r="B5" s="17">
        <v>45688</v>
      </c>
      <c r="C5" s="2" t="s">
        <v>4</v>
      </c>
      <c r="D5" s="3">
        <v>1180000</v>
      </c>
      <c r="E5" s="3" t="s">
        <v>38</v>
      </c>
      <c r="F5" s="21">
        <v>1180000</v>
      </c>
      <c r="G5" s="2" t="s">
        <v>535</v>
      </c>
      <c r="H5" s="2">
        <f>_xlfn.XLOOKUP(G5, Direcții!B:B,Direcții!A:A, "NU GASIT",0)</f>
        <v>3</v>
      </c>
    </row>
    <row r="6" spans="1:8" x14ac:dyDescent="0.3">
      <c r="A6" s="2">
        <v>206</v>
      </c>
      <c r="B6" s="17">
        <v>45712</v>
      </c>
      <c r="C6" s="2" t="s">
        <v>5</v>
      </c>
      <c r="D6" s="3">
        <v>8640</v>
      </c>
      <c r="E6" s="3" t="s">
        <v>6</v>
      </c>
      <c r="F6" s="21">
        <v>8640</v>
      </c>
      <c r="G6" s="2" t="s">
        <v>538</v>
      </c>
      <c r="H6" s="2">
        <f>_xlfn.XLOOKUP(G6, Direcții!B:B,Direcții!A:A, "NU GASIT",0)</f>
        <v>10</v>
      </c>
    </row>
    <row r="7" spans="1:8" x14ac:dyDescent="0.3">
      <c r="A7" s="2">
        <v>207</v>
      </c>
      <c r="B7" s="17">
        <v>45716</v>
      </c>
      <c r="C7" s="2" t="s">
        <v>7</v>
      </c>
      <c r="D7" s="3">
        <v>15720</v>
      </c>
      <c r="E7" s="3" t="s">
        <v>8</v>
      </c>
      <c r="F7" s="21">
        <v>15720</v>
      </c>
      <c r="G7" s="2" t="s">
        <v>538</v>
      </c>
      <c r="H7" s="2">
        <f>_xlfn.XLOOKUP(G7, Direcții!B:B,Direcții!A:A, "NU GASIT",0)</f>
        <v>10</v>
      </c>
    </row>
    <row r="8" spans="1:8" x14ac:dyDescent="0.3">
      <c r="A8" s="2">
        <v>208</v>
      </c>
      <c r="B8" s="17">
        <v>45719</v>
      </c>
      <c r="C8" s="2" t="s">
        <v>9</v>
      </c>
      <c r="D8" s="3">
        <v>46000</v>
      </c>
      <c r="E8" s="3" t="s">
        <v>10</v>
      </c>
      <c r="F8" s="21">
        <v>46000</v>
      </c>
      <c r="G8" s="2" t="s">
        <v>538</v>
      </c>
      <c r="H8" s="2">
        <f>_xlfn.XLOOKUP(G8, Direcții!B:B,Direcții!A:A, "NU GASIT",0)</f>
        <v>10</v>
      </c>
    </row>
    <row r="9" spans="1:8" x14ac:dyDescent="0.3">
      <c r="A9" s="2">
        <v>209</v>
      </c>
      <c r="B9" s="17">
        <v>45729</v>
      </c>
      <c r="C9" s="2" t="s">
        <v>11</v>
      </c>
      <c r="D9" s="3">
        <v>7680</v>
      </c>
      <c r="E9" s="3" t="s">
        <v>12</v>
      </c>
      <c r="F9" s="21">
        <v>7680</v>
      </c>
      <c r="G9" s="2" t="s">
        <v>538</v>
      </c>
      <c r="H9" s="2">
        <f>_xlfn.XLOOKUP(G9, Direcții!B:B,Direcții!A:A, "NU GASIT",0)</f>
        <v>10</v>
      </c>
    </row>
    <row r="10" spans="1:8" x14ac:dyDescent="0.3">
      <c r="A10" s="2">
        <v>210</v>
      </c>
      <c r="B10" s="17">
        <v>45741</v>
      </c>
      <c r="C10" s="2" t="s">
        <v>13</v>
      </c>
      <c r="D10" s="3">
        <v>2840000</v>
      </c>
      <c r="E10" s="3" t="s">
        <v>14</v>
      </c>
      <c r="F10" s="21">
        <v>2840000</v>
      </c>
      <c r="G10" s="2" t="s">
        <v>534</v>
      </c>
      <c r="H10" s="2">
        <f>_xlfn.XLOOKUP(G10, Direcții!B:B,Direcții!A:A, "NU GASIT",0)</f>
        <v>2</v>
      </c>
    </row>
    <row r="11" spans="1:8" x14ac:dyDescent="0.3">
      <c r="A11" s="2">
        <v>211</v>
      </c>
      <c r="B11" s="17">
        <v>45741</v>
      </c>
      <c r="C11" s="2" t="s">
        <v>15</v>
      </c>
      <c r="D11" s="3">
        <v>195000</v>
      </c>
      <c r="E11" s="3" t="s">
        <v>16</v>
      </c>
      <c r="F11" s="21">
        <v>195000</v>
      </c>
      <c r="G11" s="2" t="s">
        <v>534</v>
      </c>
      <c r="H11" s="2">
        <f>_xlfn.XLOOKUP(G11, Direcții!B:B,Direcții!A:A, "NU GASIT",0)</f>
        <v>2</v>
      </c>
    </row>
    <row r="12" spans="1:8" x14ac:dyDescent="0.3">
      <c r="A12" s="2">
        <v>212</v>
      </c>
      <c r="B12" s="17">
        <v>45769</v>
      </c>
      <c r="C12" s="2" t="s">
        <v>733</v>
      </c>
      <c r="D12" s="3">
        <v>15534</v>
      </c>
      <c r="E12" s="3" t="s">
        <v>17</v>
      </c>
      <c r="F12" s="21">
        <v>15534</v>
      </c>
      <c r="G12" s="2" t="s">
        <v>534</v>
      </c>
      <c r="H12" s="2">
        <f>_xlfn.XLOOKUP(G12, Direcții!B:B,Direcții!A:A, "NU GASIT",0)</f>
        <v>2</v>
      </c>
    </row>
    <row r="13" spans="1:8" x14ac:dyDescent="0.3">
      <c r="A13" s="2">
        <v>213</v>
      </c>
      <c r="B13" s="17">
        <v>45783</v>
      </c>
      <c r="C13" s="2" t="s">
        <v>18</v>
      </c>
      <c r="D13" s="3">
        <v>63200</v>
      </c>
      <c r="E13" s="3" t="s">
        <v>19</v>
      </c>
      <c r="F13" s="21">
        <v>63200</v>
      </c>
      <c r="G13" s="2" t="s">
        <v>538</v>
      </c>
      <c r="H13" s="2">
        <f>_xlfn.XLOOKUP(G13, Direcții!B:B,Direcții!A:A, "NU GASIT",0)</f>
        <v>10</v>
      </c>
    </row>
    <row r="14" spans="1:8" x14ac:dyDescent="0.3">
      <c r="A14" s="2">
        <v>214</v>
      </c>
      <c r="B14" s="17">
        <v>45784</v>
      </c>
      <c r="C14" s="2" t="s">
        <v>694</v>
      </c>
      <c r="D14" s="3">
        <v>2234895</v>
      </c>
      <c r="E14" s="3" t="s">
        <v>20</v>
      </c>
      <c r="F14" s="21">
        <v>2234895</v>
      </c>
      <c r="G14" s="2" t="s">
        <v>546</v>
      </c>
      <c r="H14" s="2">
        <f>_xlfn.XLOOKUP(G14, Direcții!B:B,Direcții!A:A, "NU GASIT",0)</f>
        <v>12</v>
      </c>
    </row>
    <row r="15" spans="1:8" x14ac:dyDescent="0.3">
      <c r="A15" s="2">
        <v>215</v>
      </c>
      <c r="B15" s="17">
        <v>45785</v>
      </c>
      <c r="C15" s="2" t="s">
        <v>21</v>
      </c>
      <c r="D15" s="3">
        <v>29212.080000000002</v>
      </c>
      <c r="E15" s="3" t="s">
        <v>22</v>
      </c>
      <c r="F15" s="21">
        <v>29212.080000000002</v>
      </c>
      <c r="G15" s="2" t="s">
        <v>561</v>
      </c>
      <c r="H15" s="2">
        <f>_xlfn.XLOOKUP(G15, Direcții!B:B,Direcții!A:A, "NU GASIT",0)</f>
        <v>6</v>
      </c>
    </row>
    <row r="16" spans="1:8" x14ac:dyDescent="0.3">
      <c r="A16" s="2">
        <v>216</v>
      </c>
      <c r="B16" s="17">
        <v>45796</v>
      </c>
      <c r="C16" s="2" t="s">
        <v>23</v>
      </c>
      <c r="D16" s="3">
        <v>58772.87</v>
      </c>
      <c r="E16" s="3" t="s">
        <v>24</v>
      </c>
      <c r="F16" s="21">
        <v>58772.87</v>
      </c>
      <c r="G16" s="2" t="s">
        <v>553</v>
      </c>
      <c r="H16" s="2">
        <f>_xlfn.XLOOKUP(G16, Direcții!B:B,Direcții!A:A, "NU GASIT",0)</f>
        <v>15</v>
      </c>
    </row>
    <row r="17" spans="1:8" x14ac:dyDescent="0.3">
      <c r="A17" s="2">
        <v>217</v>
      </c>
      <c r="B17" s="17">
        <v>45796</v>
      </c>
      <c r="C17" s="2" t="s">
        <v>25</v>
      </c>
      <c r="D17" s="3">
        <v>2141634.2000000002</v>
      </c>
      <c r="E17" s="3" t="s">
        <v>26</v>
      </c>
      <c r="F17" s="21">
        <v>2141634.2000000002</v>
      </c>
      <c r="G17" s="2" t="s">
        <v>535</v>
      </c>
      <c r="H17" s="2">
        <f>_xlfn.XLOOKUP(G17, Direcții!B:B,Direcții!A:A, "NU GASIT",0)</f>
        <v>3</v>
      </c>
    </row>
    <row r="18" spans="1:8" x14ac:dyDescent="0.3">
      <c r="A18" s="2">
        <v>218</v>
      </c>
      <c r="B18" s="17">
        <v>45800</v>
      </c>
      <c r="C18" s="2" t="s">
        <v>695</v>
      </c>
      <c r="D18" s="3">
        <v>197000</v>
      </c>
      <c r="E18" s="3" t="s">
        <v>335</v>
      </c>
      <c r="F18" s="21">
        <v>197000</v>
      </c>
      <c r="G18" s="2" t="s">
        <v>538</v>
      </c>
      <c r="H18" s="2">
        <f>_xlfn.XLOOKUP(G18, Direcții!B:B,Direcții!A:A, "NU GASIT",0)</f>
        <v>10</v>
      </c>
    </row>
    <row r="19" spans="1:8" x14ac:dyDescent="0.3">
      <c r="A19" s="2">
        <v>219</v>
      </c>
      <c r="B19" s="17">
        <v>45800</v>
      </c>
      <c r="C19" s="2" t="s">
        <v>27</v>
      </c>
      <c r="D19" s="3">
        <v>19333.330000000002</v>
      </c>
      <c r="E19" s="3" t="s">
        <v>28</v>
      </c>
      <c r="F19" s="21">
        <v>19333.330000000002</v>
      </c>
      <c r="G19" s="2" t="s">
        <v>555</v>
      </c>
      <c r="H19" s="2">
        <f>_xlfn.XLOOKUP(G19, Direcții!B:B,Direcții!A:A, "NU GASIT",0)</f>
        <v>25</v>
      </c>
    </row>
    <row r="20" spans="1:8" x14ac:dyDescent="0.3">
      <c r="A20" s="2">
        <v>220</v>
      </c>
      <c r="B20" s="17">
        <v>45812</v>
      </c>
      <c r="C20" s="2" t="s">
        <v>29</v>
      </c>
      <c r="D20" s="3">
        <v>77000</v>
      </c>
      <c r="E20" s="3" t="s">
        <v>30</v>
      </c>
      <c r="F20" s="21">
        <v>77000</v>
      </c>
      <c r="G20" s="2" t="s">
        <v>548</v>
      </c>
      <c r="H20" s="2">
        <f>_xlfn.XLOOKUP(G20, Direcții!B:B,Direcții!A:A, "NU GASIT",0)</f>
        <v>20</v>
      </c>
    </row>
    <row r="21" spans="1:8" x14ac:dyDescent="0.3">
      <c r="A21" s="2">
        <v>221</v>
      </c>
      <c r="B21" s="17">
        <v>45891</v>
      </c>
      <c r="C21" s="2" t="s">
        <v>31</v>
      </c>
      <c r="D21" s="3">
        <v>44044.45</v>
      </c>
      <c r="E21" s="3" t="s">
        <v>32</v>
      </c>
      <c r="F21" s="21">
        <v>44044.45</v>
      </c>
      <c r="G21" s="2" t="s">
        <v>535</v>
      </c>
      <c r="H21" s="2">
        <f>_xlfn.XLOOKUP(G21, Direcții!B:B,Direcții!A:A, "NU GASIT",0)</f>
        <v>3</v>
      </c>
    </row>
    <row r="22" spans="1:8" x14ac:dyDescent="0.3">
      <c r="A22" s="2">
        <v>222</v>
      </c>
      <c r="B22" s="17">
        <v>45891</v>
      </c>
      <c r="C22" s="2" t="s">
        <v>31</v>
      </c>
      <c r="D22" s="3">
        <v>77219.16</v>
      </c>
      <c r="E22" s="3" t="s">
        <v>33</v>
      </c>
      <c r="F22" s="21">
        <v>77219.16</v>
      </c>
      <c r="G22" s="2" t="s">
        <v>535</v>
      </c>
      <c r="H22" s="2">
        <f>_xlfn.XLOOKUP(G22, Direcții!B:B,Direcții!A:A, "NU GASIT",0)</f>
        <v>3</v>
      </c>
    </row>
    <row r="23" spans="1:8" x14ac:dyDescent="0.3">
      <c r="A23" s="2">
        <v>223</v>
      </c>
      <c r="B23" s="17">
        <v>45891</v>
      </c>
      <c r="C23" s="2" t="s">
        <v>31</v>
      </c>
      <c r="D23" s="3">
        <v>116648.58</v>
      </c>
      <c r="E23" s="3" t="s">
        <v>34</v>
      </c>
      <c r="F23" s="21">
        <v>116648.58</v>
      </c>
      <c r="G23" s="2" t="s">
        <v>535</v>
      </c>
      <c r="H23" s="2">
        <f>_xlfn.XLOOKUP(G23, Direcții!B:B,Direcții!A:A, "NU GASIT",0)</f>
        <v>3</v>
      </c>
    </row>
    <row r="24" spans="1:8" x14ac:dyDescent="0.3">
      <c r="A24" s="2">
        <v>227</v>
      </c>
      <c r="B24" s="17">
        <v>45911</v>
      </c>
      <c r="C24" s="2" t="s">
        <v>35</v>
      </c>
      <c r="D24" s="3">
        <v>675000</v>
      </c>
      <c r="E24" s="3" t="s">
        <v>36</v>
      </c>
      <c r="F24" s="21">
        <v>675000</v>
      </c>
      <c r="G24" s="2" t="s">
        <v>535</v>
      </c>
      <c r="H24" s="2">
        <f>_xlfn.XLOOKUP(G24, Direcții!B:B,Direcții!A:A, "NU GASIT",0)</f>
        <v>3</v>
      </c>
    </row>
    <row r="25" spans="1:8" x14ac:dyDescent="0.3">
      <c r="F25" s="3">
        <f>MAX(F2:F24)</f>
        <v>2840000</v>
      </c>
    </row>
  </sheetData>
  <phoneticPr fontId="3" type="noConversion"/>
  <dataValidations count="2">
    <dataValidation type="list" allowBlank="1" showInputMessage="1" showErrorMessage="1" error="Nu exista directia in lista " sqref="G1:G1048576" xr:uid="{FD7B2EC2-866D-48D7-89A1-BF8BA47EE1BE}">
      <formula1>$B:$B</formula1>
    </dataValidation>
    <dataValidation type="date" allowBlank="1" showInputMessage="1" showErrorMessage="1" error="Data contractului nu se incadreaza in 2025" sqref="B1:B1048576" xr:uid="{CEED2C51-A600-441C-B732-CBD51A5D91E3}">
      <formula1>DATE(2025, 1, 1)</formula1>
      <formula2>DATE(2025, 12, 31)</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7956B-A696-49B3-AF00-A668F47F36CF}">
  <dimension ref="A1:H300"/>
  <sheetViews>
    <sheetView topLeftCell="B1" zoomScale="85" zoomScaleNormal="85" workbookViewId="0">
      <selection activeCell="B1" sqref="B1"/>
    </sheetView>
  </sheetViews>
  <sheetFormatPr defaultRowHeight="15" thickBottom="1" x14ac:dyDescent="0.35"/>
  <cols>
    <col min="1" max="1" width="12.5546875" style="2" customWidth="1"/>
    <col min="2" max="2" width="100.33203125" style="7" customWidth="1"/>
    <col min="3" max="3" width="43.33203125" style="8" customWidth="1"/>
    <col min="4" max="4" width="20.6640625" style="8" customWidth="1"/>
    <col min="5" max="5" width="36.6640625" style="9" bestFit="1" customWidth="1"/>
    <col min="6" max="6" width="25.88671875" style="8" customWidth="1"/>
    <col min="7" max="7" width="83.88671875" style="13" customWidth="1"/>
    <col min="8" max="8" width="14.5546875" style="2" customWidth="1"/>
  </cols>
  <sheetData>
    <row r="1" spans="1:8" s="1" customFormat="1" ht="14.4" x14ac:dyDescent="0.3">
      <c r="A1" s="1" t="s">
        <v>349</v>
      </c>
      <c r="B1" s="1" t="s">
        <v>388</v>
      </c>
      <c r="C1" s="1" t="s">
        <v>372</v>
      </c>
      <c r="D1" s="1" t="s">
        <v>373</v>
      </c>
      <c r="E1" s="11" t="s">
        <v>382</v>
      </c>
      <c r="F1" s="1" t="s">
        <v>374</v>
      </c>
      <c r="G1" s="1" t="s">
        <v>375</v>
      </c>
      <c r="H1" s="1" t="s">
        <v>348</v>
      </c>
    </row>
    <row r="2" spans="1:8" ht="14.4" x14ac:dyDescent="0.3">
      <c r="A2" s="2">
        <v>301</v>
      </c>
      <c r="B2" s="2" t="s">
        <v>46</v>
      </c>
      <c r="C2" s="2" t="s">
        <v>315</v>
      </c>
      <c r="D2" s="2" t="s">
        <v>47</v>
      </c>
      <c r="E2" s="3">
        <v>660000</v>
      </c>
      <c r="F2" s="2" t="s">
        <v>408</v>
      </c>
      <c r="G2" s="2" t="s">
        <v>538</v>
      </c>
      <c r="H2" s="2">
        <f>_xlfn.XLOOKUP(G2, Direcții!B:B,Direcții!A:A, "NU GASIT",0)</f>
        <v>10</v>
      </c>
    </row>
    <row r="3" spans="1:8" ht="14.4" x14ac:dyDescent="0.3">
      <c r="A3" s="2">
        <v>304</v>
      </c>
      <c r="B3" s="2" t="s">
        <v>48</v>
      </c>
      <c r="C3" s="2" t="s">
        <v>48</v>
      </c>
      <c r="D3" s="2" t="s">
        <v>44</v>
      </c>
      <c r="E3" s="3">
        <v>25000</v>
      </c>
      <c r="F3" s="2" t="s">
        <v>408</v>
      </c>
      <c r="G3" s="2" t="s">
        <v>538</v>
      </c>
      <c r="H3" s="2">
        <f>_xlfn.XLOOKUP(G3, Direcții!B:B,Direcții!A:A, "NU GASIT",0)</f>
        <v>10</v>
      </c>
    </row>
    <row r="4" spans="1:8" ht="14.4" x14ac:dyDescent="0.3">
      <c r="A4" s="2">
        <v>305</v>
      </c>
      <c r="B4" s="2" t="s">
        <v>49</v>
      </c>
      <c r="C4" s="2" t="s">
        <v>48</v>
      </c>
      <c r="D4" s="2" t="s">
        <v>44</v>
      </c>
      <c r="E4" s="3">
        <v>350000</v>
      </c>
      <c r="F4" s="2" t="s">
        <v>408</v>
      </c>
      <c r="G4" s="2" t="s">
        <v>538</v>
      </c>
      <c r="H4" s="2">
        <f>_xlfn.XLOOKUP(G4, Direcții!B:B,Direcții!A:A, "NU GASIT",0)</f>
        <v>10</v>
      </c>
    </row>
    <row r="5" spans="1:8" ht="14.4" x14ac:dyDescent="0.3">
      <c r="A5" s="2">
        <v>306</v>
      </c>
      <c r="B5" s="2" t="s">
        <v>50</v>
      </c>
      <c r="C5" s="2" t="s">
        <v>48</v>
      </c>
      <c r="D5" s="2" t="s">
        <v>44</v>
      </c>
      <c r="E5" s="3">
        <v>190000</v>
      </c>
      <c r="F5" s="2" t="s">
        <v>408</v>
      </c>
      <c r="G5" s="2" t="s">
        <v>538</v>
      </c>
      <c r="H5" s="2">
        <f>_xlfn.XLOOKUP(G5, Direcții!B:B,Direcții!A:A, "NU GASIT",0)</f>
        <v>10</v>
      </c>
    </row>
    <row r="6" spans="1:8" ht="14.4" x14ac:dyDescent="0.3">
      <c r="A6" s="2">
        <v>307</v>
      </c>
      <c r="B6" s="2" t="s">
        <v>51</v>
      </c>
      <c r="C6" s="2" t="s">
        <v>48</v>
      </c>
      <c r="D6" s="2" t="s">
        <v>44</v>
      </c>
      <c r="E6" s="3">
        <v>571735</v>
      </c>
      <c r="F6" s="2" t="s">
        <v>408</v>
      </c>
      <c r="G6" s="2" t="s">
        <v>552</v>
      </c>
      <c r="H6" s="2">
        <f>_xlfn.XLOOKUP(G6, Direcții!B:B,Direcții!A:A, "NU GASIT",0)</f>
        <v>9</v>
      </c>
    </row>
    <row r="7" spans="1:8" ht="14.4" x14ac:dyDescent="0.3">
      <c r="A7" s="2">
        <v>308</v>
      </c>
      <c r="B7" s="2" t="s">
        <v>49</v>
      </c>
      <c r="C7" s="2" t="s">
        <v>48</v>
      </c>
      <c r="D7" s="2" t="s">
        <v>44</v>
      </c>
      <c r="E7" s="3">
        <v>1829</v>
      </c>
      <c r="F7" s="2" t="s">
        <v>408</v>
      </c>
      <c r="G7" s="2" t="s">
        <v>552</v>
      </c>
      <c r="H7" s="2">
        <f>_xlfn.XLOOKUP(G7, Direcții!B:B,Direcții!A:A, "NU GASIT",0)</f>
        <v>9</v>
      </c>
    </row>
    <row r="8" spans="1:8" ht="14.4" x14ac:dyDescent="0.3">
      <c r="A8" s="2">
        <v>309</v>
      </c>
      <c r="B8" s="2" t="s">
        <v>394</v>
      </c>
      <c r="C8" s="2" t="s">
        <v>48</v>
      </c>
      <c r="D8" s="2" t="s">
        <v>44</v>
      </c>
      <c r="E8" s="3">
        <v>710</v>
      </c>
      <c r="F8" s="2" t="s">
        <v>408</v>
      </c>
      <c r="G8" s="2" t="s">
        <v>552</v>
      </c>
      <c r="H8" s="2">
        <f>_xlfn.XLOOKUP(G8, Direcții!B:B,Direcții!A:A, "NU GASIT",0)</f>
        <v>9</v>
      </c>
    </row>
    <row r="9" spans="1:8" ht="14.4" x14ac:dyDescent="0.3">
      <c r="A9" s="2">
        <v>311</v>
      </c>
      <c r="B9" s="2" t="s">
        <v>52</v>
      </c>
      <c r="C9" s="2" t="s">
        <v>389</v>
      </c>
      <c r="D9" s="2" t="s">
        <v>44</v>
      </c>
      <c r="E9" s="3">
        <v>400000</v>
      </c>
      <c r="F9" s="2" t="s">
        <v>408</v>
      </c>
      <c r="G9" s="2" t="s">
        <v>538</v>
      </c>
      <c r="H9" s="2">
        <f>_xlfn.XLOOKUP(G9, Direcții!B:B,Direcții!A:A, "NU GASIT",0)</f>
        <v>10</v>
      </c>
    </row>
    <row r="10" spans="1:8" ht="14.4" x14ac:dyDescent="0.3">
      <c r="A10" s="2">
        <v>312</v>
      </c>
      <c r="B10" s="2" t="s">
        <v>53</v>
      </c>
      <c r="C10" s="2" t="s">
        <v>389</v>
      </c>
      <c r="D10" s="2" t="s">
        <v>44</v>
      </c>
      <c r="E10" s="3">
        <v>500000</v>
      </c>
      <c r="F10" s="2" t="s">
        <v>408</v>
      </c>
      <c r="G10" s="2" t="s">
        <v>538</v>
      </c>
      <c r="H10" s="2">
        <f>_xlfn.XLOOKUP(G10, Direcții!B:B,Direcții!A:A, "NU GASIT",0)</f>
        <v>10</v>
      </c>
    </row>
    <row r="11" spans="1:8" ht="14.4" x14ac:dyDescent="0.3">
      <c r="A11" s="2">
        <v>313</v>
      </c>
      <c r="B11" s="2" t="s">
        <v>54</v>
      </c>
      <c r="C11" s="2" t="s">
        <v>389</v>
      </c>
      <c r="D11" s="2" t="s">
        <v>44</v>
      </c>
      <c r="E11" s="3">
        <v>14622</v>
      </c>
      <c r="F11" s="2" t="s">
        <v>409</v>
      </c>
      <c r="G11" s="2" t="s">
        <v>552</v>
      </c>
      <c r="H11" s="2">
        <f>_xlfn.XLOOKUP(G11, Direcții!B:B,Direcții!A:A, "NU GASIT",0)</f>
        <v>9</v>
      </c>
    </row>
    <row r="12" spans="1:8" ht="14.4" x14ac:dyDescent="0.3">
      <c r="A12" s="2">
        <v>314</v>
      </c>
      <c r="B12" s="2" t="s">
        <v>55</v>
      </c>
      <c r="C12" s="2" t="s">
        <v>389</v>
      </c>
      <c r="D12" s="2" t="s">
        <v>44</v>
      </c>
      <c r="E12" s="3">
        <v>41152</v>
      </c>
      <c r="F12" s="2" t="s">
        <v>409</v>
      </c>
      <c r="G12" s="2" t="s">
        <v>552</v>
      </c>
      <c r="H12" s="2">
        <f>_xlfn.XLOOKUP(G12, Direcții!B:B,Direcții!A:A, "NU GASIT",0)</f>
        <v>9</v>
      </c>
    </row>
    <row r="13" spans="1:8" ht="14.4" x14ac:dyDescent="0.3">
      <c r="A13" s="2">
        <v>318</v>
      </c>
      <c r="B13" s="2" t="s">
        <v>56</v>
      </c>
      <c r="C13" s="2" t="s">
        <v>316</v>
      </c>
      <c r="D13" s="2" t="s">
        <v>44</v>
      </c>
      <c r="E13" s="3">
        <v>50000</v>
      </c>
      <c r="F13" s="2" t="s">
        <v>408</v>
      </c>
      <c r="G13" s="2" t="s">
        <v>538</v>
      </c>
      <c r="H13" s="2">
        <f>_xlfn.XLOOKUP(G13, Direcții!B:B,Direcții!A:A, "NU GASIT",0)</f>
        <v>10</v>
      </c>
    </row>
    <row r="14" spans="1:8" ht="14.4" x14ac:dyDescent="0.3">
      <c r="A14" s="2">
        <v>319</v>
      </c>
      <c r="B14" s="2" t="s">
        <v>57</v>
      </c>
      <c r="C14" s="2" t="s">
        <v>316</v>
      </c>
      <c r="D14" s="2" t="s">
        <v>44</v>
      </c>
      <c r="E14" s="3">
        <v>83000</v>
      </c>
      <c r="F14" s="2" t="s">
        <v>408</v>
      </c>
      <c r="G14" s="2" t="s">
        <v>538</v>
      </c>
      <c r="H14" s="2">
        <f>_xlfn.XLOOKUP(G14, Direcții!B:B,Direcții!A:A, "NU GASIT",0)</f>
        <v>10</v>
      </c>
    </row>
    <row r="15" spans="1:8" ht="14.4" x14ac:dyDescent="0.3">
      <c r="A15" s="2">
        <v>320</v>
      </c>
      <c r="B15" s="2" t="s">
        <v>58</v>
      </c>
      <c r="C15" s="2" t="s">
        <v>316</v>
      </c>
      <c r="D15" s="2" t="s">
        <v>44</v>
      </c>
      <c r="E15" s="3">
        <v>25000</v>
      </c>
      <c r="F15" s="2" t="s">
        <v>408</v>
      </c>
      <c r="G15" s="2" t="s">
        <v>538</v>
      </c>
      <c r="H15" s="2">
        <f>_xlfn.XLOOKUP(G15, Direcții!B:B,Direcții!A:A, "NU GASIT",0)</f>
        <v>10</v>
      </c>
    </row>
    <row r="16" spans="1:8" ht="14.4" x14ac:dyDescent="0.3">
      <c r="A16" s="2">
        <v>321</v>
      </c>
      <c r="B16" s="2" t="s">
        <v>59</v>
      </c>
      <c r="C16" s="2" t="s">
        <v>316</v>
      </c>
      <c r="D16" s="2" t="s">
        <v>44</v>
      </c>
      <c r="E16" s="3">
        <v>65000</v>
      </c>
      <c r="F16" s="2" t="s">
        <v>408</v>
      </c>
      <c r="G16" s="2" t="s">
        <v>538</v>
      </c>
      <c r="H16" s="2">
        <f>_xlfn.XLOOKUP(G16, Direcții!B:B,Direcții!A:A, "NU GASIT",0)</f>
        <v>10</v>
      </c>
    </row>
    <row r="17" spans="1:8" ht="14.4" x14ac:dyDescent="0.3">
      <c r="A17" s="2">
        <v>322</v>
      </c>
      <c r="B17" s="2" t="s">
        <v>56</v>
      </c>
      <c r="C17" s="2" t="s">
        <v>316</v>
      </c>
      <c r="D17" s="2" t="s">
        <v>44</v>
      </c>
      <c r="E17" s="3">
        <v>58000</v>
      </c>
      <c r="F17" s="2" t="s">
        <v>408</v>
      </c>
      <c r="G17" s="2" t="s">
        <v>538</v>
      </c>
      <c r="H17" s="2">
        <f>_xlfn.XLOOKUP(G17, Direcții!B:B,Direcții!A:A, "NU GASIT",0)</f>
        <v>10</v>
      </c>
    </row>
    <row r="18" spans="1:8" ht="14.4" x14ac:dyDescent="0.3">
      <c r="A18" s="2">
        <v>323</v>
      </c>
      <c r="B18" s="2" t="s">
        <v>60</v>
      </c>
      <c r="C18" s="2" t="s">
        <v>316</v>
      </c>
      <c r="D18" s="2" t="s">
        <v>44</v>
      </c>
      <c r="E18" s="3">
        <v>28925</v>
      </c>
      <c r="F18" s="2" t="s">
        <v>409</v>
      </c>
      <c r="G18" s="2" t="s">
        <v>552</v>
      </c>
      <c r="H18" s="2">
        <f>_xlfn.XLOOKUP(G18, Direcții!B:B,Direcții!A:A, "NU GASIT",0)</f>
        <v>9</v>
      </c>
    </row>
    <row r="19" spans="1:8" ht="14.4" x14ac:dyDescent="0.3">
      <c r="A19" s="2">
        <v>324</v>
      </c>
      <c r="B19" s="2" t="s">
        <v>61</v>
      </c>
      <c r="C19" s="2" t="s">
        <v>316</v>
      </c>
      <c r="D19" s="2" t="s">
        <v>44</v>
      </c>
      <c r="E19" s="3">
        <v>25210</v>
      </c>
      <c r="F19" s="2" t="s">
        <v>409</v>
      </c>
      <c r="G19" s="2" t="s">
        <v>552</v>
      </c>
      <c r="H19" s="2">
        <f>_xlfn.XLOOKUP(G19, Direcții!B:B,Direcții!A:A, "NU GASIT",0)</f>
        <v>9</v>
      </c>
    </row>
    <row r="20" spans="1:8" ht="14.4" x14ac:dyDescent="0.3">
      <c r="A20" s="2">
        <v>325</v>
      </c>
      <c r="B20" s="2" t="s">
        <v>62</v>
      </c>
      <c r="C20" s="2" t="s">
        <v>316</v>
      </c>
      <c r="D20" s="2" t="s">
        <v>44</v>
      </c>
      <c r="E20" s="3">
        <v>1315.9</v>
      </c>
      <c r="F20" s="2" t="s">
        <v>409</v>
      </c>
      <c r="G20" s="2" t="s">
        <v>552</v>
      </c>
      <c r="H20" s="2">
        <f>_xlfn.XLOOKUP(G20, Direcții!B:B,Direcții!A:A, "NU GASIT",0)</f>
        <v>9</v>
      </c>
    </row>
    <row r="21" spans="1:8" ht="14.4" x14ac:dyDescent="0.3">
      <c r="A21" s="2">
        <v>328</v>
      </c>
      <c r="B21" s="2" t="s">
        <v>395</v>
      </c>
      <c r="C21" s="2" t="s">
        <v>317</v>
      </c>
      <c r="D21" s="2" t="s">
        <v>44</v>
      </c>
      <c r="E21" s="3">
        <v>239980</v>
      </c>
      <c r="F21" s="2" t="s">
        <v>408</v>
      </c>
      <c r="G21" s="2" t="s">
        <v>554</v>
      </c>
      <c r="H21" s="2">
        <f>_xlfn.XLOOKUP(G21, Direcții!B:B,Direcții!A:A, "NU GASIT",0)</f>
        <v>22</v>
      </c>
    </row>
    <row r="22" spans="1:8" ht="14.4" x14ac:dyDescent="0.3">
      <c r="A22" s="2">
        <v>329</v>
      </c>
      <c r="B22" s="2" t="s">
        <v>63</v>
      </c>
      <c r="C22" s="2" t="s">
        <v>317</v>
      </c>
      <c r="D22" s="2" t="s">
        <v>44</v>
      </c>
      <c r="E22" s="3">
        <v>131600</v>
      </c>
      <c r="F22" s="2" t="s">
        <v>408</v>
      </c>
      <c r="G22" s="2" t="s">
        <v>554</v>
      </c>
      <c r="H22" s="2">
        <f>_xlfn.XLOOKUP(G22, Direcții!B:B,Direcții!A:A, "NU GASIT",0)</f>
        <v>22</v>
      </c>
    </row>
    <row r="23" spans="1:8" ht="14.4" x14ac:dyDescent="0.3">
      <c r="A23" s="2">
        <v>330</v>
      </c>
      <c r="B23" s="2" t="s">
        <v>64</v>
      </c>
      <c r="C23" s="2" t="s">
        <v>317</v>
      </c>
      <c r="D23" s="2" t="s">
        <v>44</v>
      </c>
      <c r="E23" s="3">
        <v>17600</v>
      </c>
      <c r="F23" s="2" t="s">
        <v>408</v>
      </c>
      <c r="G23" s="2" t="s">
        <v>554</v>
      </c>
      <c r="H23" s="2">
        <f>_xlfn.XLOOKUP(G23, Direcții!B:B,Direcții!A:A, "NU GASIT",0)</f>
        <v>22</v>
      </c>
    </row>
    <row r="24" spans="1:8" ht="14.4" x14ac:dyDescent="0.3">
      <c r="A24" s="2">
        <v>331</v>
      </c>
      <c r="B24" s="2" t="s">
        <v>65</v>
      </c>
      <c r="C24" s="2" t="s">
        <v>317</v>
      </c>
      <c r="D24" s="2" t="s">
        <v>44</v>
      </c>
      <c r="E24" s="3">
        <v>40600</v>
      </c>
      <c r="F24" s="2" t="s">
        <v>408</v>
      </c>
      <c r="G24" s="2" t="s">
        <v>554</v>
      </c>
      <c r="H24" s="2">
        <f>_xlfn.XLOOKUP(G24, Direcții!B:B,Direcții!A:A, "NU GASIT",0)</f>
        <v>22</v>
      </c>
    </row>
    <row r="25" spans="1:8" ht="14.4" x14ac:dyDescent="0.3">
      <c r="A25" s="2">
        <v>332</v>
      </c>
      <c r="B25" s="2" t="s">
        <v>66</v>
      </c>
      <c r="C25" s="2" t="s">
        <v>317</v>
      </c>
      <c r="D25" s="2" t="s">
        <v>44</v>
      </c>
      <c r="E25" s="3">
        <v>75400</v>
      </c>
      <c r="F25" s="2" t="s">
        <v>408</v>
      </c>
      <c r="G25" s="2" t="s">
        <v>554</v>
      </c>
      <c r="H25" s="2">
        <f>_xlfn.XLOOKUP(G25, Direcții!B:B,Direcții!A:A, "NU GASIT",0)</f>
        <v>22</v>
      </c>
    </row>
    <row r="26" spans="1:8" ht="14.4" x14ac:dyDescent="0.3">
      <c r="A26" s="2">
        <v>333</v>
      </c>
      <c r="B26" s="2" t="s">
        <v>67</v>
      </c>
      <c r="C26" s="2" t="s">
        <v>317</v>
      </c>
      <c r="D26" s="2" t="s">
        <v>44</v>
      </c>
      <c r="E26" s="3">
        <v>209937</v>
      </c>
      <c r="F26" s="2" t="s">
        <v>408</v>
      </c>
      <c r="G26" s="2" t="s">
        <v>554</v>
      </c>
      <c r="H26" s="2">
        <f>_xlfn.XLOOKUP(G26, Direcții!B:B,Direcții!A:A, "NU GASIT",0)</f>
        <v>22</v>
      </c>
    </row>
    <row r="27" spans="1:8" ht="14.4" x14ac:dyDescent="0.3">
      <c r="A27" s="2">
        <v>334</v>
      </c>
      <c r="B27" s="2" t="s">
        <v>68</v>
      </c>
      <c r="C27" s="2" t="s">
        <v>317</v>
      </c>
      <c r="D27" s="2" t="s">
        <v>44</v>
      </c>
      <c r="E27" s="3">
        <v>17500</v>
      </c>
      <c r="F27" s="2" t="s">
        <v>408</v>
      </c>
      <c r="G27" s="2" t="s">
        <v>554</v>
      </c>
      <c r="H27" s="2">
        <f>_xlfn.XLOOKUP(G27, Direcții!B:B,Direcții!A:A, "NU GASIT",0)</f>
        <v>22</v>
      </c>
    </row>
    <row r="28" spans="1:8" ht="14.4" x14ac:dyDescent="0.3">
      <c r="A28" s="2">
        <v>335</v>
      </c>
      <c r="B28" s="2" t="s">
        <v>69</v>
      </c>
      <c r="C28" s="2" t="s">
        <v>317</v>
      </c>
      <c r="D28" s="2" t="s">
        <v>44</v>
      </c>
      <c r="E28" s="3">
        <v>9230</v>
      </c>
      <c r="F28" s="2" t="s">
        <v>408</v>
      </c>
      <c r="G28" s="2" t="s">
        <v>554</v>
      </c>
      <c r="H28" s="2">
        <f>_xlfn.XLOOKUP(G28, Direcții!B:B,Direcții!A:A, "NU GASIT",0)</f>
        <v>22</v>
      </c>
    </row>
    <row r="29" spans="1:8" ht="14.4" x14ac:dyDescent="0.3">
      <c r="A29" s="2">
        <v>336</v>
      </c>
      <c r="B29" s="2" t="s">
        <v>70</v>
      </c>
      <c r="C29" s="2" t="s">
        <v>317</v>
      </c>
      <c r="D29" s="2" t="s">
        <v>44</v>
      </c>
      <c r="E29" s="3">
        <v>6256</v>
      </c>
      <c r="F29" s="2" t="s">
        <v>408</v>
      </c>
      <c r="G29" s="2" t="s">
        <v>554</v>
      </c>
      <c r="H29" s="2">
        <f>_xlfn.XLOOKUP(G29, Direcții!B:B,Direcții!A:A, "NU GASIT",0)</f>
        <v>22</v>
      </c>
    </row>
    <row r="30" spans="1:8" ht="14.4" x14ac:dyDescent="0.3">
      <c r="A30" s="2">
        <v>337</v>
      </c>
      <c r="B30" s="2" t="s">
        <v>71</v>
      </c>
      <c r="C30" s="2" t="s">
        <v>317</v>
      </c>
      <c r="D30" s="2" t="s">
        <v>44</v>
      </c>
      <c r="E30" s="3">
        <v>93146</v>
      </c>
      <c r="F30" s="2" t="s">
        <v>408</v>
      </c>
      <c r="G30" s="2" t="s">
        <v>554</v>
      </c>
      <c r="H30" s="2">
        <f>_xlfn.XLOOKUP(G30, Direcții!B:B,Direcții!A:A, "NU GASIT",0)</f>
        <v>22</v>
      </c>
    </row>
    <row r="31" spans="1:8" ht="14.4" x14ac:dyDescent="0.3">
      <c r="A31" s="2">
        <v>338</v>
      </c>
      <c r="B31" s="2" t="s">
        <v>72</v>
      </c>
      <c r="C31" s="2" t="s">
        <v>317</v>
      </c>
      <c r="D31" s="2" t="s">
        <v>44</v>
      </c>
      <c r="E31" s="3">
        <v>5254</v>
      </c>
      <c r="F31" s="2" t="s">
        <v>408</v>
      </c>
      <c r="G31" s="2" t="s">
        <v>554</v>
      </c>
      <c r="H31" s="2">
        <f>_xlfn.XLOOKUP(G31, Direcții!B:B,Direcții!A:A, "NU GASIT",0)</f>
        <v>22</v>
      </c>
    </row>
    <row r="32" spans="1:8" ht="14.4" x14ac:dyDescent="0.3">
      <c r="A32" s="2">
        <v>339</v>
      </c>
      <c r="B32" s="2" t="s">
        <v>73</v>
      </c>
      <c r="C32" s="2" t="s">
        <v>317</v>
      </c>
      <c r="D32" s="2" t="s">
        <v>44</v>
      </c>
      <c r="E32" s="3">
        <v>62845</v>
      </c>
      <c r="F32" s="2" t="s">
        <v>408</v>
      </c>
      <c r="G32" s="2" t="s">
        <v>554</v>
      </c>
      <c r="H32" s="2">
        <f>_xlfn.XLOOKUP(G32, Direcții!B:B,Direcții!A:A, "NU GASIT",0)</f>
        <v>22</v>
      </c>
    </row>
    <row r="33" spans="1:8" ht="14.4" x14ac:dyDescent="0.3">
      <c r="A33" s="2">
        <v>340</v>
      </c>
      <c r="B33" s="2" t="s">
        <v>74</v>
      </c>
      <c r="C33" s="2" t="s">
        <v>317</v>
      </c>
      <c r="D33" s="2" t="s">
        <v>44</v>
      </c>
      <c r="E33" s="3">
        <v>17731</v>
      </c>
      <c r="F33" s="2" t="s">
        <v>408</v>
      </c>
      <c r="G33" s="2" t="s">
        <v>554</v>
      </c>
      <c r="H33" s="2">
        <f>_xlfn.XLOOKUP(G33, Direcții!B:B,Direcții!A:A, "NU GASIT",0)</f>
        <v>22</v>
      </c>
    </row>
    <row r="34" spans="1:8" ht="14.4" x14ac:dyDescent="0.3">
      <c r="A34" s="2">
        <v>341</v>
      </c>
      <c r="B34" s="2" t="s">
        <v>75</v>
      </c>
      <c r="C34" s="2" t="s">
        <v>317</v>
      </c>
      <c r="D34" s="2" t="s">
        <v>44</v>
      </c>
      <c r="E34" s="3">
        <v>23462</v>
      </c>
      <c r="F34" s="2" t="s">
        <v>408</v>
      </c>
      <c r="G34" s="2" t="s">
        <v>554</v>
      </c>
      <c r="H34" s="2">
        <f>_xlfn.XLOOKUP(G34, Direcții!B:B,Direcții!A:A, "NU GASIT",0)</f>
        <v>22</v>
      </c>
    </row>
    <row r="35" spans="1:8" ht="14.4" x14ac:dyDescent="0.3">
      <c r="A35" s="2">
        <v>342</v>
      </c>
      <c r="B35" s="2" t="s">
        <v>76</v>
      </c>
      <c r="C35" s="2" t="s">
        <v>317</v>
      </c>
      <c r="D35" s="2" t="s">
        <v>44</v>
      </c>
      <c r="E35" s="3">
        <v>84500</v>
      </c>
      <c r="F35" s="2" t="s">
        <v>408</v>
      </c>
      <c r="G35" s="2" t="s">
        <v>554</v>
      </c>
      <c r="H35" s="2">
        <f>_xlfn.XLOOKUP(G35, Direcții!B:B,Direcții!A:A, "NU GASIT",0)</f>
        <v>22</v>
      </c>
    </row>
    <row r="36" spans="1:8" ht="14.4" x14ac:dyDescent="0.3">
      <c r="A36" s="2">
        <v>343</v>
      </c>
      <c r="B36" s="2" t="s">
        <v>77</v>
      </c>
      <c r="C36" s="2" t="s">
        <v>317</v>
      </c>
      <c r="D36" s="2" t="s">
        <v>44</v>
      </c>
      <c r="E36" s="3">
        <v>10136</v>
      </c>
      <c r="F36" s="2" t="s">
        <v>408</v>
      </c>
      <c r="G36" s="2" t="s">
        <v>554</v>
      </c>
      <c r="H36" s="2">
        <f>_xlfn.XLOOKUP(G36, Direcții!B:B,Direcții!A:A, "NU GASIT",0)</f>
        <v>22</v>
      </c>
    </row>
    <row r="37" spans="1:8" ht="14.4" x14ac:dyDescent="0.3">
      <c r="A37" s="2">
        <v>344</v>
      </c>
      <c r="B37" s="2" t="s">
        <v>78</v>
      </c>
      <c r="C37" s="2" t="s">
        <v>317</v>
      </c>
      <c r="D37" s="2" t="s">
        <v>44</v>
      </c>
      <c r="E37" s="3">
        <v>10167</v>
      </c>
      <c r="F37" s="2" t="s">
        <v>408</v>
      </c>
      <c r="G37" s="2" t="s">
        <v>554</v>
      </c>
      <c r="H37" s="2">
        <f>_xlfn.XLOOKUP(G37, Direcții!B:B,Direcții!A:A, "NU GASIT",0)</f>
        <v>22</v>
      </c>
    </row>
    <row r="38" spans="1:8" ht="14.4" x14ac:dyDescent="0.3">
      <c r="A38" s="2">
        <v>345</v>
      </c>
      <c r="B38" s="2" t="s">
        <v>79</v>
      </c>
      <c r="C38" s="2" t="s">
        <v>317</v>
      </c>
      <c r="D38" s="2" t="s">
        <v>44</v>
      </c>
      <c r="E38" s="3">
        <v>181700</v>
      </c>
      <c r="F38" s="2" t="s">
        <v>408</v>
      </c>
      <c r="G38" s="2" t="s">
        <v>554</v>
      </c>
      <c r="H38" s="2">
        <f>_xlfn.XLOOKUP(G38, Direcții!B:B,Direcții!A:A, "NU GASIT",0)</f>
        <v>22</v>
      </c>
    </row>
    <row r="39" spans="1:8" ht="14.4" x14ac:dyDescent="0.3">
      <c r="A39" s="2">
        <v>346</v>
      </c>
      <c r="B39" s="2" t="s">
        <v>80</v>
      </c>
      <c r="C39" s="2" t="s">
        <v>317</v>
      </c>
      <c r="D39" s="2" t="s">
        <v>44</v>
      </c>
      <c r="E39" s="3">
        <v>9500</v>
      </c>
      <c r="F39" s="2" t="s">
        <v>408</v>
      </c>
      <c r="G39" s="2" t="s">
        <v>554</v>
      </c>
      <c r="H39" s="2">
        <f>_xlfn.XLOOKUP(G39, Direcții!B:B,Direcții!A:A, "NU GASIT",0)</f>
        <v>22</v>
      </c>
    </row>
    <row r="40" spans="1:8" ht="14.4" x14ac:dyDescent="0.3">
      <c r="A40" s="2">
        <v>347</v>
      </c>
      <c r="B40" s="2" t="s">
        <v>81</v>
      </c>
      <c r="C40" s="2" t="s">
        <v>317</v>
      </c>
      <c r="D40" s="2" t="s">
        <v>44</v>
      </c>
      <c r="E40" s="3">
        <v>23530</v>
      </c>
      <c r="F40" s="2" t="s">
        <v>408</v>
      </c>
      <c r="G40" s="2" t="s">
        <v>554</v>
      </c>
      <c r="H40" s="2">
        <f>_xlfn.XLOOKUP(G40, Direcții!B:B,Direcții!A:A, "NU GASIT",0)</f>
        <v>22</v>
      </c>
    </row>
    <row r="41" spans="1:8" ht="14.4" x14ac:dyDescent="0.3">
      <c r="A41" s="2">
        <v>348</v>
      </c>
      <c r="B41" s="2" t="s">
        <v>82</v>
      </c>
      <c r="C41" s="2" t="s">
        <v>317</v>
      </c>
      <c r="D41" s="2" t="s">
        <v>44</v>
      </c>
      <c r="E41" s="3">
        <v>4800</v>
      </c>
      <c r="F41" s="2" t="s">
        <v>408</v>
      </c>
      <c r="G41" s="2" t="s">
        <v>554</v>
      </c>
      <c r="H41" s="2">
        <f>_xlfn.XLOOKUP(G41, Direcții!B:B,Direcții!A:A, "NU GASIT",0)</f>
        <v>22</v>
      </c>
    </row>
    <row r="42" spans="1:8" ht="14.4" x14ac:dyDescent="0.3">
      <c r="A42" s="2">
        <v>349</v>
      </c>
      <c r="B42" s="2" t="s">
        <v>83</v>
      </c>
      <c r="C42" s="2" t="s">
        <v>317</v>
      </c>
      <c r="D42" s="2" t="s">
        <v>44</v>
      </c>
      <c r="E42" s="3">
        <v>269260</v>
      </c>
      <c r="F42" s="2" t="s">
        <v>408</v>
      </c>
      <c r="G42" s="2" t="s">
        <v>696</v>
      </c>
      <c r="H42" s="2">
        <f>_xlfn.XLOOKUP(G42, Direcții!B:B,Direcții!A:A, "NU GASIT",0)</f>
        <v>23</v>
      </c>
    </row>
    <row r="43" spans="1:8" ht="14.4" x14ac:dyDescent="0.3">
      <c r="A43" s="2">
        <v>350</v>
      </c>
      <c r="B43" s="2" t="s">
        <v>85</v>
      </c>
      <c r="C43" s="2" t="s">
        <v>84</v>
      </c>
      <c r="D43" s="2" t="s">
        <v>44</v>
      </c>
      <c r="E43" s="3">
        <v>500000</v>
      </c>
      <c r="F43" s="2" t="s">
        <v>408</v>
      </c>
      <c r="G43" s="2" t="s">
        <v>538</v>
      </c>
      <c r="H43" s="2">
        <f>_xlfn.XLOOKUP(G43, Direcții!B:B,Direcții!A:A, "NU GASIT",0)</f>
        <v>10</v>
      </c>
    </row>
    <row r="44" spans="1:8" ht="14.4" x14ac:dyDescent="0.3">
      <c r="A44" s="2">
        <v>351</v>
      </c>
      <c r="B44" s="2" t="s">
        <v>86</v>
      </c>
      <c r="C44" s="2" t="s">
        <v>84</v>
      </c>
      <c r="D44" s="2" t="s">
        <v>44</v>
      </c>
      <c r="E44" s="3">
        <v>150000</v>
      </c>
      <c r="F44" s="2" t="s">
        <v>408</v>
      </c>
      <c r="G44" s="2" t="s">
        <v>538</v>
      </c>
      <c r="H44" s="2">
        <f>_xlfn.XLOOKUP(G44, Direcții!B:B,Direcții!A:A, "NU GASIT",0)</f>
        <v>10</v>
      </c>
    </row>
    <row r="45" spans="1:8" ht="14.4" x14ac:dyDescent="0.3">
      <c r="A45" s="2">
        <v>352</v>
      </c>
      <c r="B45" s="2" t="s">
        <v>87</v>
      </c>
      <c r="C45" s="2" t="s">
        <v>84</v>
      </c>
      <c r="D45" s="2" t="s">
        <v>44</v>
      </c>
      <c r="E45" s="3">
        <v>350000</v>
      </c>
      <c r="F45" s="2" t="s">
        <v>408</v>
      </c>
      <c r="G45" s="2" t="s">
        <v>538</v>
      </c>
      <c r="H45" s="2">
        <f>_xlfn.XLOOKUP(G45, Direcții!B:B,Direcții!A:A, "NU GASIT",0)</f>
        <v>10</v>
      </c>
    </row>
    <row r="46" spans="1:8" ht="14.4" x14ac:dyDescent="0.3">
      <c r="A46" s="2">
        <v>353</v>
      </c>
      <c r="B46" s="2" t="s">
        <v>88</v>
      </c>
      <c r="C46" s="2" t="s">
        <v>84</v>
      </c>
      <c r="D46" s="2" t="s">
        <v>44</v>
      </c>
      <c r="E46" s="3">
        <v>326221.99</v>
      </c>
      <c r="F46" s="2" t="s">
        <v>408</v>
      </c>
      <c r="G46" s="2" t="s">
        <v>535</v>
      </c>
      <c r="H46" s="2">
        <f>_xlfn.XLOOKUP(G46, Direcții!B:B,Direcții!A:A, "NU GASIT",0)</f>
        <v>3</v>
      </c>
    </row>
    <row r="47" spans="1:8" ht="14.4" x14ac:dyDescent="0.3">
      <c r="A47" s="2">
        <v>355</v>
      </c>
      <c r="B47" s="2" t="s">
        <v>89</v>
      </c>
      <c r="C47" s="2" t="s">
        <v>390</v>
      </c>
      <c r="D47" s="2" t="s">
        <v>45</v>
      </c>
      <c r="E47" s="3">
        <v>9200</v>
      </c>
      <c r="F47" s="2" t="s">
        <v>408</v>
      </c>
      <c r="G47" s="2" t="s">
        <v>538</v>
      </c>
      <c r="H47" s="2">
        <f>_xlfn.XLOOKUP(G47, Direcții!B:B,Direcții!A:A, "NU GASIT",0)</f>
        <v>10</v>
      </c>
    </row>
    <row r="48" spans="1:8" ht="14.4" x14ac:dyDescent="0.3">
      <c r="A48" s="2">
        <v>356</v>
      </c>
      <c r="B48" s="2" t="s">
        <v>90</v>
      </c>
      <c r="C48" s="2" t="s">
        <v>390</v>
      </c>
      <c r="D48" s="2" t="s">
        <v>45</v>
      </c>
      <c r="E48" s="3">
        <v>142361</v>
      </c>
      <c r="F48" s="2" t="s">
        <v>408</v>
      </c>
      <c r="G48" s="2" t="s">
        <v>552</v>
      </c>
      <c r="H48" s="2">
        <f>_xlfn.XLOOKUP(G48, Direcții!B:B,Direcții!A:A, "NU GASIT",0)</f>
        <v>9</v>
      </c>
    </row>
    <row r="49" spans="1:8" ht="14.4" x14ac:dyDescent="0.3">
      <c r="A49" s="2">
        <v>357</v>
      </c>
      <c r="B49" s="2" t="s">
        <v>91</v>
      </c>
      <c r="C49" s="2" t="s">
        <v>390</v>
      </c>
      <c r="D49" s="2" t="s">
        <v>45</v>
      </c>
      <c r="E49" s="3">
        <v>100000</v>
      </c>
      <c r="F49" s="2" t="s">
        <v>408</v>
      </c>
      <c r="G49" s="2" t="s">
        <v>538</v>
      </c>
      <c r="H49" s="2">
        <f>_xlfn.XLOOKUP(G49, Direcții!B:B,Direcții!A:A, "NU GASIT",0)</f>
        <v>10</v>
      </c>
    </row>
    <row r="50" spans="1:8" ht="14.4" x14ac:dyDescent="0.3">
      <c r="A50" s="2">
        <v>358</v>
      </c>
      <c r="B50" s="2" t="s">
        <v>93</v>
      </c>
      <c r="C50" s="2" t="s">
        <v>390</v>
      </c>
      <c r="D50" s="2" t="s">
        <v>45</v>
      </c>
      <c r="E50" s="3">
        <v>5000</v>
      </c>
      <c r="F50" s="2" t="s">
        <v>408</v>
      </c>
      <c r="G50" s="2" t="s">
        <v>552</v>
      </c>
      <c r="H50" s="2">
        <f>_xlfn.XLOOKUP(G50, Direcții!B:B,Direcții!A:A, "NU GASIT",0)</f>
        <v>9</v>
      </c>
    </row>
    <row r="51" spans="1:8" ht="14.4" x14ac:dyDescent="0.3">
      <c r="A51" s="2">
        <v>361</v>
      </c>
      <c r="B51" s="2" t="s">
        <v>94</v>
      </c>
      <c r="C51" s="2" t="s">
        <v>390</v>
      </c>
      <c r="D51" s="2" t="s">
        <v>45</v>
      </c>
      <c r="E51" s="3">
        <v>202000</v>
      </c>
      <c r="F51" s="2" t="s">
        <v>408</v>
      </c>
      <c r="G51" s="2" t="s">
        <v>538</v>
      </c>
      <c r="H51" s="2">
        <f>_xlfn.XLOOKUP(G51, Direcții!B:B,Direcții!A:A, "NU GASIT",0)</f>
        <v>10</v>
      </c>
    </row>
    <row r="52" spans="1:8" ht="14.4" x14ac:dyDescent="0.3">
      <c r="A52" s="2">
        <v>362</v>
      </c>
      <c r="B52" s="2" t="s">
        <v>95</v>
      </c>
      <c r="C52" s="2" t="s">
        <v>390</v>
      </c>
      <c r="D52" s="2" t="s">
        <v>45</v>
      </c>
      <c r="E52" s="3">
        <v>582095.75</v>
      </c>
      <c r="F52" s="2" t="s">
        <v>408</v>
      </c>
      <c r="G52" s="2" t="s">
        <v>535</v>
      </c>
      <c r="H52" s="2">
        <f>_xlfn.XLOOKUP(G52, Direcții!B:B,Direcții!A:A, "NU GASIT",0)</f>
        <v>3</v>
      </c>
    </row>
    <row r="53" spans="1:8" ht="14.4" x14ac:dyDescent="0.3">
      <c r="A53" s="2">
        <v>364</v>
      </c>
      <c r="B53" s="2" t="s">
        <v>96</v>
      </c>
      <c r="C53" s="2" t="s">
        <v>318</v>
      </c>
      <c r="D53" s="2" t="s">
        <v>45</v>
      </c>
      <c r="E53" s="3">
        <v>182339.44</v>
      </c>
      <c r="F53" s="2" t="s">
        <v>408</v>
      </c>
      <c r="G53" s="2" t="s">
        <v>541</v>
      </c>
      <c r="H53" s="2">
        <f>_xlfn.XLOOKUP(G53, Direcții!B:B,Direcții!A:A, "NU GASIT",0)</f>
        <v>14</v>
      </c>
    </row>
    <row r="54" spans="1:8" ht="14.4" x14ac:dyDescent="0.3">
      <c r="A54" s="2">
        <v>365</v>
      </c>
      <c r="B54" s="2" t="s">
        <v>97</v>
      </c>
      <c r="C54" s="2" t="s">
        <v>318</v>
      </c>
      <c r="D54" s="2" t="s">
        <v>45</v>
      </c>
      <c r="E54" s="3">
        <v>200000</v>
      </c>
      <c r="F54" s="2" t="s">
        <v>408</v>
      </c>
      <c r="G54" s="2" t="s">
        <v>554</v>
      </c>
      <c r="H54" s="2">
        <f>_xlfn.XLOOKUP(G54, Direcții!B:B,Direcții!A:A, "NU GASIT",0)</f>
        <v>22</v>
      </c>
    </row>
    <row r="55" spans="1:8" ht="14.4" x14ac:dyDescent="0.3">
      <c r="A55" s="2">
        <v>366</v>
      </c>
      <c r="B55" s="2" t="s">
        <v>98</v>
      </c>
      <c r="C55" s="2" t="s">
        <v>318</v>
      </c>
      <c r="D55" s="2" t="s">
        <v>45</v>
      </c>
      <c r="E55" s="3">
        <v>200000</v>
      </c>
      <c r="F55" s="2" t="s">
        <v>408</v>
      </c>
      <c r="G55" s="2" t="s">
        <v>554</v>
      </c>
      <c r="H55" s="2">
        <f>_xlfn.XLOOKUP(G55, Direcții!B:B,Direcții!A:A, "NU GASIT",0)</f>
        <v>22</v>
      </c>
    </row>
    <row r="56" spans="1:8" ht="14.4" x14ac:dyDescent="0.3">
      <c r="A56" s="2">
        <v>367</v>
      </c>
      <c r="B56" s="2" t="s">
        <v>99</v>
      </c>
      <c r="C56" s="2" t="s">
        <v>318</v>
      </c>
      <c r="D56" s="2" t="s">
        <v>45</v>
      </c>
      <c r="E56" s="3">
        <v>198500</v>
      </c>
      <c r="F56" s="2" t="s">
        <v>408</v>
      </c>
      <c r="G56" s="2" t="s">
        <v>554</v>
      </c>
      <c r="H56" s="2">
        <f>_xlfn.XLOOKUP(G56, Direcții!B:B,Direcții!A:A, "NU GASIT",0)</f>
        <v>22</v>
      </c>
    </row>
    <row r="57" spans="1:8" ht="14.4" x14ac:dyDescent="0.3">
      <c r="A57" s="2">
        <v>368</v>
      </c>
      <c r="B57" s="2" t="s">
        <v>101</v>
      </c>
      <c r="C57" s="2" t="s">
        <v>100</v>
      </c>
      <c r="D57" s="2" t="s">
        <v>45</v>
      </c>
      <c r="E57" s="3">
        <v>250000</v>
      </c>
      <c r="F57" s="2" t="s">
        <v>408</v>
      </c>
      <c r="G57" s="2" t="s">
        <v>538</v>
      </c>
      <c r="H57" s="2">
        <f>_xlfn.XLOOKUP(G57, Direcții!B:B,Direcții!A:A, "NU GASIT",0)</f>
        <v>10</v>
      </c>
    </row>
    <row r="58" spans="1:8" ht="14.4" x14ac:dyDescent="0.3">
      <c r="A58" s="2">
        <v>369</v>
      </c>
      <c r="B58" s="2" t="s">
        <v>102</v>
      </c>
      <c r="C58" s="2" t="s">
        <v>100</v>
      </c>
      <c r="D58" s="2" t="s">
        <v>45</v>
      </c>
      <c r="E58" s="3">
        <v>420000</v>
      </c>
      <c r="F58" s="2" t="s">
        <v>408</v>
      </c>
      <c r="G58" s="2" t="s">
        <v>538</v>
      </c>
      <c r="H58" s="2">
        <f>_xlfn.XLOOKUP(G58, Direcții!B:B,Direcții!A:A, "NU GASIT",0)</f>
        <v>10</v>
      </c>
    </row>
    <row r="59" spans="1:8" ht="14.4" x14ac:dyDescent="0.3">
      <c r="A59" s="2">
        <v>370</v>
      </c>
      <c r="B59" s="2" t="s">
        <v>103</v>
      </c>
      <c r="C59" s="2" t="s">
        <v>100</v>
      </c>
      <c r="D59" s="2" t="s">
        <v>45</v>
      </c>
      <c r="E59" s="3">
        <v>350000</v>
      </c>
      <c r="F59" s="2" t="s">
        <v>408</v>
      </c>
      <c r="G59" s="2" t="s">
        <v>538</v>
      </c>
      <c r="H59" s="2">
        <f>_xlfn.XLOOKUP(G59, Direcții!B:B,Direcții!A:A, "NU GASIT",0)</f>
        <v>10</v>
      </c>
    </row>
    <row r="60" spans="1:8" ht="14.4" x14ac:dyDescent="0.3">
      <c r="A60" s="2">
        <v>371</v>
      </c>
      <c r="B60" s="2" t="s">
        <v>104</v>
      </c>
      <c r="C60" s="2" t="s">
        <v>100</v>
      </c>
      <c r="D60" s="2" t="s">
        <v>45</v>
      </c>
      <c r="E60" s="3">
        <v>31779</v>
      </c>
      <c r="F60" s="2" t="s">
        <v>408</v>
      </c>
      <c r="G60" s="2" t="s">
        <v>552</v>
      </c>
      <c r="H60" s="2">
        <f>_xlfn.XLOOKUP(G60, Direcții!B:B,Direcții!A:A, "NU GASIT",0)</f>
        <v>9</v>
      </c>
    </row>
    <row r="61" spans="1:8" ht="14.4" x14ac:dyDescent="0.3">
      <c r="A61" s="2">
        <v>374</v>
      </c>
      <c r="B61" s="2" t="s">
        <v>105</v>
      </c>
      <c r="C61" s="2" t="s">
        <v>100</v>
      </c>
      <c r="D61" s="2" t="s">
        <v>45</v>
      </c>
      <c r="E61" s="3">
        <v>588000</v>
      </c>
      <c r="F61" s="2" t="s">
        <v>408</v>
      </c>
      <c r="G61" s="2" t="s">
        <v>536</v>
      </c>
      <c r="H61" s="2">
        <f>_xlfn.XLOOKUP(G61, Direcții!B:B,Direcții!A:A, "NU GASIT",0)</f>
        <v>7</v>
      </c>
    </row>
    <row r="62" spans="1:8" ht="14.4" x14ac:dyDescent="0.3">
      <c r="A62" s="2">
        <v>375</v>
      </c>
      <c r="B62" s="2" t="s">
        <v>387</v>
      </c>
      <c r="C62" s="2" t="s">
        <v>319</v>
      </c>
      <c r="D62" s="2" t="s">
        <v>45</v>
      </c>
      <c r="E62" s="3">
        <v>126051</v>
      </c>
      <c r="F62" s="2" t="s">
        <v>408</v>
      </c>
      <c r="G62" s="2" t="s">
        <v>536</v>
      </c>
      <c r="H62" s="2">
        <f>_xlfn.XLOOKUP(G62, Direcții!B:B,Direcții!A:A, "NU GASIT",0)</f>
        <v>7</v>
      </c>
    </row>
    <row r="63" spans="1:8" ht="14.4" x14ac:dyDescent="0.3">
      <c r="A63" s="2">
        <v>376</v>
      </c>
      <c r="B63" s="2" t="s">
        <v>106</v>
      </c>
      <c r="C63" s="2" t="s">
        <v>319</v>
      </c>
      <c r="D63" s="2" t="s">
        <v>92</v>
      </c>
      <c r="E63" s="3">
        <v>190000</v>
      </c>
      <c r="F63" s="2" t="s">
        <v>408</v>
      </c>
      <c r="G63" s="2" t="s">
        <v>536</v>
      </c>
      <c r="H63" s="2">
        <f>_xlfn.XLOOKUP(G63, Direcții!B:B,Direcții!A:A, "NU GASIT",0)</f>
        <v>7</v>
      </c>
    </row>
    <row r="64" spans="1:8" ht="14.4" x14ac:dyDescent="0.3">
      <c r="A64" s="2">
        <v>378</v>
      </c>
      <c r="B64" s="2" t="s">
        <v>107</v>
      </c>
      <c r="C64" s="2" t="s">
        <v>320</v>
      </c>
      <c r="D64" s="2" t="s">
        <v>45</v>
      </c>
      <c r="E64" s="3">
        <v>270000</v>
      </c>
      <c r="F64" s="2" t="s">
        <v>409</v>
      </c>
      <c r="G64" s="2" t="s">
        <v>538</v>
      </c>
      <c r="H64" s="2">
        <f>_xlfn.XLOOKUP(G64, Direcții!B:B,Direcții!A:A, "NU GASIT",0)</f>
        <v>10</v>
      </c>
    </row>
    <row r="65" spans="1:8" ht="14.4" x14ac:dyDescent="0.3">
      <c r="A65" s="2">
        <v>379</v>
      </c>
      <c r="B65" s="2" t="s">
        <v>108</v>
      </c>
      <c r="C65" s="2" t="s">
        <v>320</v>
      </c>
      <c r="D65" s="2" t="s">
        <v>45</v>
      </c>
      <c r="E65" s="3">
        <v>285000</v>
      </c>
      <c r="F65" s="2" t="s">
        <v>408</v>
      </c>
      <c r="G65" s="2" t="s">
        <v>542</v>
      </c>
      <c r="H65" s="2">
        <f>_xlfn.XLOOKUP(G65, Direcții!B:B,Direcții!A:A, "NU GASIT",0)</f>
        <v>17</v>
      </c>
    </row>
    <row r="66" spans="1:8" ht="14.4" x14ac:dyDescent="0.3">
      <c r="A66" s="2">
        <v>381</v>
      </c>
      <c r="B66" s="2" t="s">
        <v>110</v>
      </c>
      <c r="C66" s="2" t="s">
        <v>109</v>
      </c>
      <c r="D66" s="2" t="s">
        <v>45</v>
      </c>
      <c r="E66" s="3">
        <v>270000</v>
      </c>
      <c r="F66" s="2" t="s">
        <v>408</v>
      </c>
      <c r="G66" s="2" t="s">
        <v>542</v>
      </c>
      <c r="H66" s="2">
        <f>_xlfn.XLOOKUP(G66, Direcții!B:B,Direcții!A:A, "NU GASIT",0)</f>
        <v>17</v>
      </c>
    </row>
    <row r="67" spans="1:8" ht="14.4" x14ac:dyDescent="0.3">
      <c r="A67" s="2">
        <v>382</v>
      </c>
      <c r="B67" s="2" t="s">
        <v>111</v>
      </c>
      <c r="C67" s="2" t="s">
        <v>109</v>
      </c>
      <c r="D67" s="2" t="s">
        <v>45</v>
      </c>
      <c r="E67" s="3">
        <v>270000</v>
      </c>
      <c r="F67" s="2" t="s">
        <v>408</v>
      </c>
      <c r="G67" s="2" t="s">
        <v>542</v>
      </c>
      <c r="H67" s="2">
        <f>_xlfn.XLOOKUP(G67, Direcții!B:B,Direcții!A:A, "NU GASIT",0)</f>
        <v>17</v>
      </c>
    </row>
    <row r="68" spans="1:8" ht="14.4" x14ac:dyDescent="0.3">
      <c r="A68" s="2">
        <v>383</v>
      </c>
      <c r="B68" s="2" t="s">
        <v>112</v>
      </c>
      <c r="C68" s="2" t="s">
        <v>109</v>
      </c>
      <c r="D68" s="2" t="s">
        <v>45</v>
      </c>
      <c r="E68" s="3">
        <v>129300</v>
      </c>
      <c r="F68" s="2" t="s">
        <v>408</v>
      </c>
      <c r="G68" s="2" t="s">
        <v>552</v>
      </c>
      <c r="H68" s="2">
        <f>_xlfn.XLOOKUP(G68, Direcții!B:B,Direcții!A:A, "NU GASIT",0)</f>
        <v>9</v>
      </c>
    </row>
    <row r="69" spans="1:8" ht="14.4" x14ac:dyDescent="0.3">
      <c r="A69" s="2">
        <v>386</v>
      </c>
      <c r="B69" s="2" t="s">
        <v>113</v>
      </c>
      <c r="C69" s="2" t="s">
        <v>321</v>
      </c>
      <c r="D69" s="2" t="s">
        <v>45</v>
      </c>
      <c r="E69" s="3">
        <v>588235</v>
      </c>
      <c r="F69" s="2" t="s">
        <v>408</v>
      </c>
      <c r="G69" s="2" t="s">
        <v>536</v>
      </c>
      <c r="H69" s="2">
        <f>_xlfn.XLOOKUP(G69, Direcții!B:B,Direcții!A:A, "NU GASIT",0)</f>
        <v>7</v>
      </c>
    </row>
    <row r="70" spans="1:8" ht="14.4" x14ac:dyDescent="0.3">
      <c r="A70" s="2">
        <v>387</v>
      </c>
      <c r="B70" s="2" t="s">
        <v>114</v>
      </c>
      <c r="C70" s="2" t="s">
        <v>321</v>
      </c>
      <c r="D70" s="2" t="s">
        <v>45</v>
      </c>
      <c r="E70" s="3">
        <v>645.41999999999996</v>
      </c>
      <c r="F70" s="2" t="s">
        <v>408</v>
      </c>
      <c r="G70" s="2" t="s">
        <v>539</v>
      </c>
      <c r="H70" s="2">
        <f>_xlfn.XLOOKUP(G70, Direcții!B:B,Direcții!A:A, "NU GASIT",0)</f>
        <v>11</v>
      </c>
    </row>
    <row r="71" spans="1:8" ht="14.4" x14ac:dyDescent="0.3">
      <c r="A71" s="2">
        <v>388</v>
      </c>
      <c r="B71" s="2" t="s">
        <v>115</v>
      </c>
      <c r="C71" s="2" t="s">
        <v>321</v>
      </c>
      <c r="D71" s="2" t="s">
        <v>45</v>
      </c>
      <c r="E71" s="3">
        <v>2712.15</v>
      </c>
      <c r="F71" s="2" t="s">
        <v>408</v>
      </c>
      <c r="G71" s="2" t="s">
        <v>539</v>
      </c>
      <c r="H71" s="2">
        <f>_xlfn.XLOOKUP(G71, Direcții!B:B,Direcții!A:A, "NU GASIT",0)</f>
        <v>11</v>
      </c>
    </row>
    <row r="72" spans="1:8" ht="14.4" x14ac:dyDescent="0.3">
      <c r="A72" s="2">
        <v>389</v>
      </c>
      <c r="B72" s="2" t="s">
        <v>336</v>
      </c>
      <c r="C72" s="2" t="s">
        <v>321</v>
      </c>
      <c r="D72" s="2" t="s">
        <v>45</v>
      </c>
      <c r="E72" s="3">
        <v>146000</v>
      </c>
      <c r="F72" s="2" t="s">
        <v>408</v>
      </c>
      <c r="G72" s="2" t="s">
        <v>548</v>
      </c>
      <c r="H72" s="2">
        <f>_xlfn.XLOOKUP(G72, Direcții!B:B,Direcții!A:A, "NU GASIT",0)</f>
        <v>20</v>
      </c>
    </row>
    <row r="73" spans="1:8" ht="14.4" x14ac:dyDescent="0.3">
      <c r="A73" s="2">
        <v>390</v>
      </c>
      <c r="B73" s="2" t="s">
        <v>116</v>
      </c>
      <c r="C73" s="2" t="s">
        <v>321</v>
      </c>
      <c r="D73" s="2" t="s">
        <v>45</v>
      </c>
      <c r="E73" s="3">
        <v>93130</v>
      </c>
      <c r="F73" s="2" t="s">
        <v>408</v>
      </c>
      <c r="G73" s="2" t="s">
        <v>548</v>
      </c>
      <c r="H73" s="2">
        <f>_xlfn.XLOOKUP(G73, Direcții!B:B,Direcții!A:A, "NU GASIT",0)</f>
        <v>20</v>
      </c>
    </row>
    <row r="74" spans="1:8" ht="14.4" x14ac:dyDescent="0.3">
      <c r="A74" s="2">
        <v>391</v>
      </c>
      <c r="B74" s="2" t="s">
        <v>117</v>
      </c>
      <c r="C74" s="2" t="s">
        <v>321</v>
      </c>
      <c r="D74" s="2" t="s">
        <v>45</v>
      </c>
      <c r="E74" s="3">
        <v>3000</v>
      </c>
      <c r="F74" s="2" t="s">
        <v>408</v>
      </c>
      <c r="G74" s="2" t="s">
        <v>543</v>
      </c>
      <c r="H74" s="2">
        <f>_xlfn.XLOOKUP(G74, Direcții!B:B,Direcții!A:A, "NU GASIT",0)</f>
        <v>19</v>
      </c>
    </row>
    <row r="75" spans="1:8" ht="14.4" x14ac:dyDescent="0.3">
      <c r="A75" s="2">
        <v>392</v>
      </c>
      <c r="B75" s="2" t="s">
        <v>118</v>
      </c>
      <c r="C75" s="2" t="s">
        <v>321</v>
      </c>
      <c r="D75" s="2" t="s">
        <v>45</v>
      </c>
      <c r="E75" s="3">
        <v>3000</v>
      </c>
      <c r="F75" s="2" t="s">
        <v>408</v>
      </c>
      <c r="G75" s="2" t="s">
        <v>543</v>
      </c>
      <c r="H75" s="2">
        <f>_xlfn.XLOOKUP(G75, Direcții!B:B,Direcții!A:A, "NU GASIT",0)</f>
        <v>19</v>
      </c>
    </row>
    <row r="76" spans="1:8" ht="14.4" x14ac:dyDescent="0.3">
      <c r="A76" s="2">
        <v>393</v>
      </c>
      <c r="B76" s="2" t="s">
        <v>119</v>
      </c>
      <c r="C76" s="2" t="s">
        <v>321</v>
      </c>
      <c r="D76" s="2" t="s">
        <v>45</v>
      </c>
      <c r="E76" s="3">
        <v>3000</v>
      </c>
      <c r="F76" s="2" t="s">
        <v>408</v>
      </c>
      <c r="G76" s="2" t="s">
        <v>543</v>
      </c>
      <c r="H76" s="2">
        <f>_xlfn.XLOOKUP(G76, Direcții!B:B,Direcții!A:A, "NU GASIT",0)</f>
        <v>19</v>
      </c>
    </row>
    <row r="77" spans="1:8" ht="14.4" x14ac:dyDescent="0.3">
      <c r="A77" s="2">
        <v>394</v>
      </c>
      <c r="B77" s="2" t="s">
        <v>120</v>
      </c>
      <c r="C77" s="2" t="s">
        <v>321</v>
      </c>
      <c r="D77" s="2" t="s">
        <v>45</v>
      </c>
      <c r="E77" s="3">
        <v>3000</v>
      </c>
      <c r="F77" s="2" t="s">
        <v>408</v>
      </c>
      <c r="G77" s="2" t="s">
        <v>543</v>
      </c>
      <c r="H77" s="2">
        <f>_xlfn.XLOOKUP(G77, Direcții!B:B,Direcții!A:A, "NU GASIT",0)</f>
        <v>19</v>
      </c>
    </row>
    <row r="78" spans="1:8" ht="14.4" x14ac:dyDescent="0.3">
      <c r="A78" s="2">
        <v>395</v>
      </c>
      <c r="B78" s="2" t="s">
        <v>121</v>
      </c>
      <c r="C78" s="2" t="s">
        <v>321</v>
      </c>
      <c r="D78" s="2" t="s">
        <v>45</v>
      </c>
      <c r="E78" s="3">
        <v>3000</v>
      </c>
      <c r="F78" s="2" t="s">
        <v>408</v>
      </c>
      <c r="G78" s="2" t="s">
        <v>543</v>
      </c>
      <c r="H78" s="2">
        <f>_xlfn.XLOOKUP(G78, Direcții!B:B,Direcții!A:A, "NU GASIT",0)</f>
        <v>19</v>
      </c>
    </row>
    <row r="79" spans="1:8" ht="14.4" x14ac:dyDescent="0.3">
      <c r="A79" s="2">
        <v>396</v>
      </c>
      <c r="B79" s="2" t="s">
        <v>122</v>
      </c>
      <c r="C79" s="2" t="s">
        <v>321</v>
      </c>
      <c r="D79" s="2" t="s">
        <v>45</v>
      </c>
      <c r="E79" s="3">
        <v>3000</v>
      </c>
      <c r="F79" s="2" t="s">
        <v>408</v>
      </c>
      <c r="G79" s="2" t="s">
        <v>543</v>
      </c>
      <c r="H79" s="2">
        <f>_xlfn.XLOOKUP(G79, Direcții!B:B,Direcții!A:A, "NU GASIT",0)</f>
        <v>19</v>
      </c>
    </row>
    <row r="80" spans="1:8" ht="14.4" x14ac:dyDescent="0.3">
      <c r="A80" s="2">
        <v>397</v>
      </c>
      <c r="B80" s="2" t="s">
        <v>123</v>
      </c>
      <c r="C80" s="2" t="s">
        <v>321</v>
      </c>
      <c r="D80" s="2" t="s">
        <v>45</v>
      </c>
      <c r="E80" s="3">
        <v>3000</v>
      </c>
      <c r="F80" s="2" t="s">
        <v>408</v>
      </c>
      <c r="G80" s="2" t="s">
        <v>543</v>
      </c>
      <c r="H80" s="2">
        <f>_xlfn.XLOOKUP(G80, Direcții!B:B,Direcții!A:A, "NU GASIT",0)</f>
        <v>19</v>
      </c>
    </row>
    <row r="81" spans="1:8" ht="14.4" x14ac:dyDescent="0.3">
      <c r="A81" s="2">
        <v>398</v>
      </c>
      <c r="B81" s="2" t="s">
        <v>124</v>
      </c>
      <c r="C81" s="2" t="s">
        <v>321</v>
      </c>
      <c r="D81" s="2" t="s">
        <v>45</v>
      </c>
      <c r="E81" s="3">
        <v>3000</v>
      </c>
      <c r="F81" s="2" t="s">
        <v>408</v>
      </c>
      <c r="G81" s="2" t="s">
        <v>543</v>
      </c>
      <c r="H81" s="2">
        <f>_xlfn.XLOOKUP(G81, Direcții!B:B,Direcții!A:A, "NU GASIT",0)</f>
        <v>19</v>
      </c>
    </row>
    <row r="82" spans="1:8" ht="14.4" x14ac:dyDescent="0.3">
      <c r="A82" s="2">
        <v>399</v>
      </c>
      <c r="B82" s="2" t="s">
        <v>125</v>
      </c>
      <c r="C82" s="2" t="s">
        <v>321</v>
      </c>
      <c r="D82" s="2" t="s">
        <v>45</v>
      </c>
      <c r="E82" s="3">
        <v>3000</v>
      </c>
      <c r="F82" s="2" t="s">
        <v>408</v>
      </c>
      <c r="G82" s="2" t="s">
        <v>543</v>
      </c>
      <c r="H82" s="2">
        <f>_xlfn.XLOOKUP(G82, Direcții!B:B,Direcții!A:A, "NU GASIT",0)</f>
        <v>19</v>
      </c>
    </row>
    <row r="83" spans="1:8" ht="14.4" x14ac:dyDescent="0.3">
      <c r="A83" s="2">
        <v>400</v>
      </c>
      <c r="B83" s="2" t="s">
        <v>126</v>
      </c>
      <c r="C83" s="2" t="s">
        <v>321</v>
      </c>
      <c r="D83" s="2" t="s">
        <v>45</v>
      </c>
      <c r="E83" s="3">
        <v>3000</v>
      </c>
      <c r="F83" s="2" t="s">
        <v>408</v>
      </c>
      <c r="G83" s="2" t="s">
        <v>543</v>
      </c>
      <c r="H83" s="2">
        <f>_xlfn.XLOOKUP(G83, Direcții!B:B,Direcții!A:A, "NU GASIT",0)</f>
        <v>19</v>
      </c>
    </row>
    <row r="84" spans="1:8" ht="14.4" x14ac:dyDescent="0.3">
      <c r="A84" s="2">
        <v>401</v>
      </c>
      <c r="B84" s="2" t="s">
        <v>127</v>
      </c>
      <c r="C84" s="2" t="s">
        <v>321</v>
      </c>
      <c r="D84" s="2" t="s">
        <v>45</v>
      </c>
      <c r="E84" s="3">
        <v>2000</v>
      </c>
      <c r="F84" s="2" t="s">
        <v>408</v>
      </c>
      <c r="G84" s="2" t="s">
        <v>543</v>
      </c>
      <c r="H84" s="2">
        <f>_xlfn.XLOOKUP(G84, Direcții!B:B,Direcții!A:A, "NU GASIT",0)</f>
        <v>19</v>
      </c>
    </row>
    <row r="85" spans="1:8" ht="14.4" x14ac:dyDescent="0.3">
      <c r="A85" s="2">
        <v>402</v>
      </c>
      <c r="B85" s="2" t="s">
        <v>128</v>
      </c>
      <c r="C85" s="2" t="s">
        <v>321</v>
      </c>
      <c r="D85" s="2" t="s">
        <v>45</v>
      </c>
      <c r="E85" s="3">
        <v>2000</v>
      </c>
      <c r="F85" s="2" t="s">
        <v>408</v>
      </c>
      <c r="G85" s="2" t="s">
        <v>543</v>
      </c>
      <c r="H85" s="2">
        <f>_xlfn.XLOOKUP(G85, Direcții!B:B,Direcții!A:A, "NU GASIT",0)</f>
        <v>19</v>
      </c>
    </row>
    <row r="86" spans="1:8" ht="14.4" x14ac:dyDescent="0.3">
      <c r="A86" s="2">
        <v>403</v>
      </c>
      <c r="B86" s="2" t="s">
        <v>129</v>
      </c>
      <c r="C86" s="2" t="s">
        <v>321</v>
      </c>
      <c r="D86" s="2" t="s">
        <v>45</v>
      </c>
      <c r="E86" s="3">
        <v>2000</v>
      </c>
      <c r="F86" s="2" t="s">
        <v>408</v>
      </c>
      <c r="G86" s="2" t="s">
        <v>543</v>
      </c>
      <c r="H86" s="2">
        <f>_xlfn.XLOOKUP(G86, Direcții!B:B,Direcții!A:A, "NU GASIT",0)</f>
        <v>19</v>
      </c>
    </row>
    <row r="87" spans="1:8" ht="14.4" x14ac:dyDescent="0.3">
      <c r="A87" s="2">
        <v>404</v>
      </c>
      <c r="B87" s="2" t="s">
        <v>130</v>
      </c>
      <c r="C87" s="2" t="s">
        <v>321</v>
      </c>
      <c r="D87" s="2" t="s">
        <v>45</v>
      </c>
      <c r="E87" s="3">
        <v>2000</v>
      </c>
      <c r="F87" s="2" t="s">
        <v>408</v>
      </c>
      <c r="G87" s="2" t="s">
        <v>543</v>
      </c>
      <c r="H87" s="2">
        <f>_xlfn.XLOOKUP(G87, Direcții!B:B,Direcții!A:A, "NU GASIT",0)</f>
        <v>19</v>
      </c>
    </row>
    <row r="88" spans="1:8" ht="14.4" x14ac:dyDescent="0.3">
      <c r="A88" s="2">
        <v>405</v>
      </c>
      <c r="B88" s="2" t="s">
        <v>131</v>
      </c>
      <c r="C88" s="2" t="s">
        <v>321</v>
      </c>
      <c r="D88" s="2" t="s">
        <v>45</v>
      </c>
      <c r="E88" s="3">
        <v>2000</v>
      </c>
      <c r="F88" s="2" t="s">
        <v>408</v>
      </c>
      <c r="G88" s="2" t="s">
        <v>543</v>
      </c>
      <c r="H88" s="2">
        <f>_xlfn.XLOOKUP(G88, Direcții!B:B,Direcții!A:A, "NU GASIT",0)</f>
        <v>19</v>
      </c>
    </row>
    <row r="89" spans="1:8" ht="14.4" x14ac:dyDescent="0.3">
      <c r="A89" s="2">
        <v>406</v>
      </c>
      <c r="B89" s="2" t="s">
        <v>132</v>
      </c>
      <c r="C89" s="2" t="s">
        <v>321</v>
      </c>
      <c r="D89" s="2" t="s">
        <v>45</v>
      </c>
      <c r="E89" s="3">
        <v>2000</v>
      </c>
      <c r="F89" s="2" t="s">
        <v>408</v>
      </c>
      <c r="G89" s="2" t="s">
        <v>543</v>
      </c>
      <c r="H89" s="2">
        <f>_xlfn.XLOOKUP(G89, Direcții!B:B,Direcții!A:A, "NU GASIT",0)</f>
        <v>19</v>
      </c>
    </row>
    <row r="90" spans="1:8" ht="14.4" x14ac:dyDescent="0.3">
      <c r="A90" s="2">
        <v>407</v>
      </c>
      <c r="B90" s="2" t="s">
        <v>133</v>
      </c>
      <c r="C90" s="2" t="s">
        <v>321</v>
      </c>
      <c r="D90" s="2" t="s">
        <v>45</v>
      </c>
      <c r="E90" s="3">
        <v>2000</v>
      </c>
      <c r="F90" s="2" t="s">
        <v>408</v>
      </c>
      <c r="G90" s="2" t="s">
        <v>543</v>
      </c>
      <c r="H90" s="2">
        <f>_xlfn.XLOOKUP(G90, Direcții!B:B,Direcții!A:A, "NU GASIT",0)</f>
        <v>19</v>
      </c>
    </row>
    <row r="91" spans="1:8" ht="14.4" x14ac:dyDescent="0.3">
      <c r="A91" s="2">
        <v>408</v>
      </c>
      <c r="B91" s="2" t="s">
        <v>134</v>
      </c>
      <c r="C91" s="2" t="s">
        <v>321</v>
      </c>
      <c r="D91" s="2" t="s">
        <v>45</v>
      </c>
      <c r="E91" s="3">
        <v>2000</v>
      </c>
      <c r="F91" s="2" t="s">
        <v>408</v>
      </c>
      <c r="G91" s="2" t="s">
        <v>543</v>
      </c>
      <c r="H91" s="2">
        <f>_xlfn.XLOOKUP(G91, Direcții!B:B,Direcții!A:A, "NU GASIT",0)</f>
        <v>19</v>
      </c>
    </row>
    <row r="92" spans="1:8" ht="14.4" x14ac:dyDescent="0.3">
      <c r="A92" s="2">
        <v>409</v>
      </c>
      <c r="B92" s="2" t="s">
        <v>135</v>
      </c>
      <c r="C92" s="2" t="s">
        <v>321</v>
      </c>
      <c r="D92" s="2" t="s">
        <v>45</v>
      </c>
      <c r="E92" s="3">
        <v>2000</v>
      </c>
      <c r="F92" s="2" t="s">
        <v>408</v>
      </c>
      <c r="G92" s="2" t="s">
        <v>543</v>
      </c>
      <c r="H92" s="2">
        <f>_xlfn.XLOOKUP(G92, Direcții!B:B,Direcții!A:A, "NU GASIT",0)</f>
        <v>19</v>
      </c>
    </row>
    <row r="93" spans="1:8" ht="14.4" x14ac:dyDescent="0.3">
      <c r="A93" s="2">
        <v>410</v>
      </c>
      <c r="B93" s="2" t="s">
        <v>136</v>
      </c>
      <c r="C93" s="2" t="s">
        <v>321</v>
      </c>
      <c r="D93" s="2" t="s">
        <v>45</v>
      </c>
      <c r="E93" s="3">
        <v>2000</v>
      </c>
      <c r="F93" s="2" t="s">
        <v>408</v>
      </c>
      <c r="G93" s="2" t="s">
        <v>543</v>
      </c>
      <c r="H93" s="2">
        <f>_xlfn.XLOOKUP(G93, Direcții!B:B,Direcții!A:A, "NU GASIT",0)</f>
        <v>19</v>
      </c>
    </row>
    <row r="94" spans="1:8" ht="14.4" x14ac:dyDescent="0.3">
      <c r="A94" s="2">
        <v>411</v>
      </c>
      <c r="B94" s="2" t="s">
        <v>137</v>
      </c>
      <c r="C94" s="2" t="s">
        <v>321</v>
      </c>
      <c r="D94" s="2" t="s">
        <v>45</v>
      </c>
      <c r="E94" s="3">
        <v>142000</v>
      </c>
      <c r="F94" s="2" t="s">
        <v>408</v>
      </c>
      <c r="G94" s="2" t="s">
        <v>696</v>
      </c>
      <c r="H94" s="2">
        <f>_xlfn.XLOOKUP(G94, Direcții!B:B,Direcții!A:A, "NU GASIT",0)</f>
        <v>23</v>
      </c>
    </row>
    <row r="95" spans="1:8" ht="14.4" x14ac:dyDescent="0.3">
      <c r="A95" s="2">
        <v>412</v>
      </c>
      <c r="B95" s="2" t="s">
        <v>138</v>
      </c>
      <c r="C95" s="2" t="s">
        <v>321</v>
      </c>
      <c r="D95" s="2" t="s">
        <v>45</v>
      </c>
      <c r="E95" s="3">
        <v>1200</v>
      </c>
      <c r="F95" s="2" t="s">
        <v>408</v>
      </c>
      <c r="G95" s="2" t="s">
        <v>562</v>
      </c>
      <c r="H95" s="2">
        <f>_xlfn.XLOOKUP(G95, Direcții!B:B,Direcții!A:A, "NU GASIT",0)</f>
        <v>21</v>
      </c>
    </row>
    <row r="96" spans="1:8" ht="14.4" x14ac:dyDescent="0.3">
      <c r="A96" s="2">
        <v>413</v>
      </c>
      <c r="B96" s="2" t="s">
        <v>139</v>
      </c>
      <c r="C96" s="2" t="s">
        <v>321</v>
      </c>
      <c r="D96" s="2" t="s">
        <v>45</v>
      </c>
      <c r="E96" s="3">
        <v>450</v>
      </c>
      <c r="F96" s="2" t="s">
        <v>408</v>
      </c>
      <c r="G96" s="2" t="s">
        <v>560</v>
      </c>
      <c r="H96" s="2">
        <f>_xlfn.XLOOKUP(G96, Direcții!B:B,Direcții!A:A, "NU GASIT",0)</f>
        <v>4</v>
      </c>
    </row>
    <row r="97" spans="1:8" ht="14.4" x14ac:dyDescent="0.3">
      <c r="A97" s="2">
        <v>414</v>
      </c>
      <c r="B97" s="2" t="s">
        <v>140</v>
      </c>
      <c r="C97" s="2" t="s">
        <v>321</v>
      </c>
      <c r="D97" s="2" t="s">
        <v>45</v>
      </c>
      <c r="E97" s="3">
        <v>1500</v>
      </c>
      <c r="F97" s="2" t="s">
        <v>408</v>
      </c>
      <c r="G97" s="2" t="s">
        <v>562</v>
      </c>
      <c r="H97" s="2">
        <f>_xlfn.XLOOKUP(G97, Direcții!B:B,Direcții!A:A, "NU GASIT",0)</f>
        <v>21</v>
      </c>
    </row>
    <row r="98" spans="1:8" ht="14.4" x14ac:dyDescent="0.3">
      <c r="A98" s="2">
        <v>415</v>
      </c>
      <c r="B98" s="2" t="s">
        <v>141</v>
      </c>
      <c r="C98" s="2" t="s">
        <v>321</v>
      </c>
      <c r="D98" s="2" t="s">
        <v>45</v>
      </c>
      <c r="E98" s="3">
        <v>200000</v>
      </c>
      <c r="F98" s="2" t="s">
        <v>408</v>
      </c>
      <c r="G98" s="2" t="s">
        <v>554</v>
      </c>
      <c r="H98" s="2">
        <f>_xlfn.XLOOKUP(G98, Direcții!B:B,Direcții!A:A, "NU GASIT",0)</f>
        <v>22</v>
      </c>
    </row>
    <row r="99" spans="1:8" ht="14.4" x14ac:dyDescent="0.3">
      <c r="A99" s="2">
        <v>416</v>
      </c>
      <c r="B99" s="2" t="s">
        <v>322</v>
      </c>
      <c r="C99" s="2" t="s">
        <v>142</v>
      </c>
      <c r="D99" s="2" t="s">
        <v>45</v>
      </c>
      <c r="E99" s="3">
        <v>84033.61</v>
      </c>
      <c r="F99" s="2" t="s">
        <v>408</v>
      </c>
      <c r="G99" s="2" t="s">
        <v>541</v>
      </c>
      <c r="H99" s="2">
        <f>_xlfn.XLOOKUP(G99, Direcții!B:B,Direcții!A:A, "NU GASIT",0)</f>
        <v>14</v>
      </c>
    </row>
    <row r="100" spans="1:8" ht="14.4" x14ac:dyDescent="0.3">
      <c r="A100" s="2">
        <v>417</v>
      </c>
      <c r="B100" s="2" t="s">
        <v>143</v>
      </c>
      <c r="C100" s="2" t="s">
        <v>142</v>
      </c>
      <c r="D100" s="2" t="s">
        <v>45</v>
      </c>
      <c r="E100" s="3">
        <v>39200</v>
      </c>
      <c r="F100" s="2" t="s">
        <v>408</v>
      </c>
      <c r="G100" s="2" t="s">
        <v>546</v>
      </c>
      <c r="H100" s="2">
        <f>_xlfn.XLOOKUP(G100, Direcții!B:B,Direcții!A:A, "NU GASIT",0)</f>
        <v>12</v>
      </c>
    </row>
    <row r="101" spans="1:8" ht="14.4" x14ac:dyDescent="0.3">
      <c r="A101" s="2">
        <v>419</v>
      </c>
      <c r="B101" s="2" t="s">
        <v>144</v>
      </c>
      <c r="C101" s="2" t="s">
        <v>142</v>
      </c>
      <c r="D101" s="2" t="s">
        <v>45</v>
      </c>
      <c r="E101" s="3">
        <v>92000</v>
      </c>
      <c r="F101" s="2" t="s">
        <v>408</v>
      </c>
      <c r="G101" s="2" t="s">
        <v>559</v>
      </c>
      <c r="H101" s="2">
        <f>_xlfn.XLOOKUP(G101, Direcții!B:B,Direcții!A:A, "NU GASIT",0)</f>
        <v>25</v>
      </c>
    </row>
    <row r="102" spans="1:8" ht="14.4" x14ac:dyDescent="0.3">
      <c r="A102" s="2">
        <v>421</v>
      </c>
      <c r="B102" s="2" t="s">
        <v>145</v>
      </c>
      <c r="C102" s="2" t="s">
        <v>323</v>
      </c>
      <c r="D102" s="2" t="s">
        <v>45</v>
      </c>
      <c r="E102" s="3">
        <v>4800</v>
      </c>
      <c r="F102" s="2" t="s">
        <v>408</v>
      </c>
      <c r="G102" s="2" t="s">
        <v>552</v>
      </c>
      <c r="H102" s="2">
        <f>_xlfn.XLOOKUP(G102, Direcții!B:B,Direcții!A:A, "NU GASIT",0)</f>
        <v>9</v>
      </c>
    </row>
    <row r="103" spans="1:8" ht="14.4" x14ac:dyDescent="0.3">
      <c r="A103" s="2">
        <v>422</v>
      </c>
      <c r="B103" s="2" t="s">
        <v>146</v>
      </c>
      <c r="C103" s="2" t="s">
        <v>324</v>
      </c>
      <c r="D103" s="2" t="s">
        <v>45</v>
      </c>
      <c r="E103" s="3">
        <v>47680</v>
      </c>
      <c r="F103" s="2" t="s">
        <v>408</v>
      </c>
      <c r="G103" s="2" t="s">
        <v>552</v>
      </c>
      <c r="H103" s="2">
        <f>_xlfn.XLOOKUP(G103, Direcții!B:B,Direcții!A:A, "NU GASIT",0)</f>
        <v>9</v>
      </c>
    </row>
    <row r="104" spans="1:8" ht="14.4" x14ac:dyDescent="0.3">
      <c r="A104" s="2">
        <v>424</v>
      </c>
      <c r="B104" s="2" t="s">
        <v>147</v>
      </c>
      <c r="C104" s="2" t="s">
        <v>324</v>
      </c>
      <c r="D104" s="2" t="s">
        <v>45</v>
      </c>
      <c r="E104" s="3">
        <v>200000</v>
      </c>
      <c r="F104" s="2" t="s">
        <v>408</v>
      </c>
      <c r="G104" s="2" t="s">
        <v>538</v>
      </c>
      <c r="H104" s="2">
        <f>_xlfn.XLOOKUP(G104, Direcții!B:B,Direcții!A:A, "NU GASIT",0)</f>
        <v>10</v>
      </c>
    </row>
    <row r="105" spans="1:8" ht="14.4" x14ac:dyDescent="0.3">
      <c r="A105" s="2">
        <v>427</v>
      </c>
      <c r="B105" s="2" t="s">
        <v>148</v>
      </c>
      <c r="C105" s="2" t="s">
        <v>325</v>
      </c>
      <c r="D105" s="2" t="s">
        <v>45</v>
      </c>
      <c r="E105" s="3">
        <v>357167.33</v>
      </c>
      <c r="F105" s="2" t="s">
        <v>408</v>
      </c>
      <c r="G105" s="2" t="s">
        <v>552</v>
      </c>
      <c r="H105" s="2">
        <f>_xlfn.XLOOKUP(G105, Direcții!B:B,Direcții!A:A, "NU GASIT",0)</f>
        <v>9</v>
      </c>
    </row>
    <row r="106" spans="1:8" ht="14.4" x14ac:dyDescent="0.3">
      <c r="A106" s="2">
        <v>428</v>
      </c>
      <c r="B106" s="2" t="s">
        <v>149</v>
      </c>
      <c r="C106" s="2" t="s">
        <v>325</v>
      </c>
      <c r="D106" s="2" t="s">
        <v>45</v>
      </c>
      <c r="E106" s="3">
        <v>128000</v>
      </c>
      <c r="F106" s="2" t="s">
        <v>408</v>
      </c>
      <c r="G106" s="2" t="s">
        <v>552</v>
      </c>
      <c r="H106" s="2">
        <f>_xlfn.XLOOKUP(G106, Direcții!B:B,Direcții!A:A, "NU GASIT",0)</f>
        <v>9</v>
      </c>
    </row>
    <row r="107" spans="1:8" ht="14.4" x14ac:dyDescent="0.3">
      <c r="A107" s="2">
        <v>430</v>
      </c>
      <c r="B107" s="2" t="s">
        <v>150</v>
      </c>
      <c r="C107" s="2" t="s">
        <v>325</v>
      </c>
      <c r="D107" s="2" t="s">
        <v>45</v>
      </c>
      <c r="E107" s="3">
        <v>693660</v>
      </c>
      <c r="F107" s="2" t="s">
        <v>408</v>
      </c>
      <c r="G107" s="2" t="s">
        <v>535</v>
      </c>
      <c r="H107" s="2">
        <f>_xlfn.XLOOKUP(G107, Direcții!B:B,Direcții!A:A, "NU GASIT",0)</f>
        <v>3</v>
      </c>
    </row>
    <row r="108" spans="1:8" ht="14.4" x14ac:dyDescent="0.3">
      <c r="A108" s="2">
        <v>431</v>
      </c>
      <c r="B108" s="2" t="s">
        <v>151</v>
      </c>
      <c r="C108" s="2" t="s">
        <v>325</v>
      </c>
      <c r="D108" s="2" t="s">
        <v>45</v>
      </c>
      <c r="E108" s="3">
        <v>289509.37</v>
      </c>
      <c r="F108" s="2" t="s">
        <v>408</v>
      </c>
      <c r="G108" s="2" t="s">
        <v>538</v>
      </c>
      <c r="H108" s="2">
        <f>_xlfn.XLOOKUP(G108, Direcții!B:B,Direcții!A:A, "NU GASIT",0)</f>
        <v>10</v>
      </c>
    </row>
    <row r="109" spans="1:8" ht="14.4" x14ac:dyDescent="0.3">
      <c r="A109" s="2">
        <v>432</v>
      </c>
      <c r="B109" s="2" t="s">
        <v>152</v>
      </c>
      <c r="C109" s="2" t="s">
        <v>325</v>
      </c>
      <c r="D109" s="2" t="s">
        <v>45</v>
      </c>
      <c r="E109" s="3">
        <v>90000</v>
      </c>
      <c r="F109" s="2" t="s">
        <v>408</v>
      </c>
      <c r="G109" s="2" t="s">
        <v>538</v>
      </c>
      <c r="H109" s="2">
        <f>_xlfn.XLOOKUP(G109, Direcții!B:B,Direcții!A:A, "NU GASIT",0)</f>
        <v>10</v>
      </c>
    </row>
    <row r="110" spans="1:8" ht="14.4" x14ac:dyDescent="0.3">
      <c r="A110" s="2">
        <v>433</v>
      </c>
      <c r="B110" s="2" t="s">
        <v>153</v>
      </c>
      <c r="C110" s="2" t="s">
        <v>325</v>
      </c>
      <c r="D110" s="2" t="s">
        <v>45</v>
      </c>
      <c r="E110" s="3">
        <v>4839</v>
      </c>
      <c r="F110" s="2" t="s">
        <v>408</v>
      </c>
      <c r="G110" s="2" t="s">
        <v>552</v>
      </c>
      <c r="H110" s="2">
        <f>_xlfn.XLOOKUP(G110, Direcții!B:B,Direcții!A:A, "NU GASIT",0)</f>
        <v>9</v>
      </c>
    </row>
    <row r="111" spans="1:8" ht="14.4" x14ac:dyDescent="0.3">
      <c r="A111" s="2">
        <v>435</v>
      </c>
      <c r="B111" s="2" t="s">
        <v>30</v>
      </c>
      <c r="C111" s="2" t="s">
        <v>325</v>
      </c>
      <c r="D111" s="2" t="s">
        <v>45</v>
      </c>
      <c r="E111" s="3">
        <v>111100</v>
      </c>
      <c r="F111" s="2" t="s">
        <v>408</v>
      </c>
      <c r="G111" s="2" t="s">
        <v>548</v>
      </c>
      <c r="H111" s="2">
        <f>_xlfn.XLOOKUP(G111, Direcții!B:B,Direcții!A:A, "NU GASIT",0)</f>
        <v>20</v>
      </c>
    </row>
    <row r="112" spans="1:8" ht="14.4" x14ac:dyDescent="0.3">
      <c r="A112" s="2">
        <v>443</v>
      </c>
      <c r="B112" s="2" t="s">
        <v>154</v>
      </c>
      <c r="C112" s="2" t="s">
        <v>326</v>
      </c>
      <c r="D112" s="2" t="s">
        <v>45</v>
      </c>
      <c r="E112" s="3">
        <v>162000</v>
      </c>
      <c r="F112" s="2" t="s">
        <v>408</v>
      </c>
      <c r="G112" s="2" t="s">
        <v>534</v>
      </c>
      <c r="H112" s="2">
        <f>_xlfn.XLOOKUP(G112, Direcții!B:B,Direcții!A:A, "NU GASIT",0)</f>
        <v>2</v>
      </c>
    </row>
    <row r="113" spans="1:8" ht="14.4" x14ac:dyDescent="0.3">
      <c r="A113" s="2">
        <v>444</v>
      </c>
      <c r="B113" s="2" t="s">
        <v>155</v>
      </c>
      <c r="C113" s="2" t="s">
        <v>327</v>
      </c>
      <c r="D113" s="2" t="s">
        <v>45</v>
      </c>
      <c r="E113" s="3">
        <v>198000</v>
      </c>
      <c r="F113" s="2" t="s">
        <v>408</v>
      </c>
      <c r="G113" s="2" t="s">
        <v>546</v>
      </c>
      <c r="H113" s="2">
        <f>_xlfn.XLOOKUP(G113, Direcții!B:B,Direcții!A:A, "NU GASIT",0)</f>
        <v>12</v>
      </c>
    </row>
    <row r="114" spans="1:8" ht="14.4" x14ac:dyDescent="0.3">
      <c r="A114" s="2">
        <v>445</v>
      </c>
      <c r="B114" s="2" t="s">
        <v>156</v>
      </c>
      <c r="C114" s="2" t="s">
        <v>327</v>
      </c>
      <c r="D114" s="2" t="s">
        <v>45</v>
      </c>
      <c r="E114" s="3">
        <v>265000</v>
      </c>
      <c r="F114" s="2" t="s">
        <v>408</v>
      </c>
      <c r="G114" s="2" t="s">
        <v>546</v>
      </c>
      <c r="H114" s="2">
        <f>_xlfn.XLOOKUP(G114, Direcții!B:B,Direcții!A:A, "NU GASIT",0)</f>
        <v>12</v>
      </c>
    </row>
    <row r="115" spans="1:8" ht="14.4" x14ac:dyDescent="0.3">
      <c r="A115" s="2">
        <v>446</v>
      </c>
      <c r="B115" s="2" t="s">
        <v>157</v>
      </c>
      <c r="C115" s="2" t="s">
        <v>328</v>
      </c>
      <c r="D115" s="2" t="s">
        <v>45</v>
      </c>
      <c r="E115" s="3">
        <v>25890</v>
      </c>
      <c r="F115" s="2" t="s">
        <v>410</v>
      </c>
      <c r="G115" s="2" t="s">
        <v>560</v>
      </c>
      <c r="H115" s="2">
        <f>_xlfn.XLOOKUP(G115, Direcții!B:B,Direcții!A:A, "NU GASIT",0)</f>
        <v>4</v>
      </c>
    </row>
    <row r="116" spans="1:8" ht="14.4" x14ac:dyDescent="0.3">
      <c r="A116" s="2">
        <v>447</v>
      </c>
      <c r="B116" s="2" t="s">
        <v>158</v>
      </c>
      <c r="C116" s="2" t="s">
        <v>329</v>
      </c>
      <c r="D116" s="2" t="s">
        <v>45</v>
      </c>
      <c r="E116" s="3">
        <v>9789</v>
      </c>
      <c r="F116" s="2" t="s">
        <v>410</v>
      </c>
      <c r="G116" s="2" t="s">
        <v>560</v>
      </c>
      <c r="H116" s="2">
        <f>_xlfn.XLOOKUP(G116, Direcții!B:B,Direcții!A:A, "NU GASIT",0)</f>
        <v>4</v>
      </c>
    </row>
    <row r="117" spans="1:8" ht="14.4" x14ac:dyDescent="0.3">
      <c r="A117" s="2">
        <v>448</v>
      </c>
      <c r="B117" s="2" t="s">
        <v>159</v>
      </c>
      <c r="C117" s="2" t="s">
        <v>326</v>
      </c>
      <c r="D117" s="2" t="s">
        <v>45</v>
      </c>
      <c r="E117" s="3">
        <v>463484.12</v>
      </c>
      <c r="F117" s="2" t="s">
        <v>408</v>
      </c>
      <c r="G117" s="2" t="s">
        <v>535</v>
      </c>
      <c r="H117" s="2">
        <f>_xlfn.XLOOKUP(G117, Direcții!B:B,Direcții!A:A, "NU GASIT",0)</f>
        <v>3</v>
      </c>
    </row>
    <row r="118" spans="1:8" ht="14.4" x14ac:dyDescent="0.3">
      <c r="A118" s="2">
        <v>449</v>
      </c>
      <c r="B118" s="2" t="s">
        <v>160</v>
      </c>
      <c r="C118" s="2" t="s">
        <v>326</v>
      </c>
      <c r="D118" s="2" t="s">
        <v>45</v>
      </c>
      <c r="E118" s="3">
        <v>418122</v>
      </c>
      <c r="F118" s="2" t="s">
        <v>408</v>
      </c>
      <c r="G118" s="2" t="s">
        <v>696</v>
      </c>
      <c r="H118" s="2">
        <f>_xlfn.XLOOKUP(G118, Direcții!B:B,Direcții!A:A, "NU GASIT",0)</f>
        <v>23</v>
      </c>
    </row>
    <row r="119" spans="1:8" ht="14.4" x14ac:dyDescent="0.3">
      <c r="A119" s="2">
        <v>450</v>
      </c>
      <c r="B119" s="2" t="s">
        <v>161</v>
      </c>
      <c r="C119" s="2" t="s">
        <v>326</v>
      </c>
      <c r="D119" s="2" t="s">
        <v>45</v>
      </c>
      <c r="E119" s="3">
        <v>95366.2</v>
      </c>
      <c r="F119" s="2" t="s">
        <v>408</v>
      </c>
      <c r="G119" s="2" t="s">
        <v>560</v>
      </c>
      <c r="H119" s="2">
        <f>_xlfn.XLOOKUP(G119, Direcții!B:B,Direcții!A:A, "NU GASIT",0)</f>
        <v>4</v>
      </c>
    </row>
    <row r="120" spans="1:8" ht="14.4" x14ac:dyDescent="0.3">
      <c r="A120" s="2">
        <v>454</v>
      </c>
      <c r="B120" s="2" t="s">
        <v>337</v>
      </c>
      <c r="C120" s="2" t="s">
        <v>330</v>
      </c>
      <c r="D120" s="2" t="s">
        <v>45</v>
      </c>
      <c r="E120" s="3">
        <v>560944</v>
      </c>
      <c r="F120" s="2" t="s">
        <v>409</v>
      </c>
      <c r="G120" s="2" t="s">
        <v>551</v>
      </c>
      <c r="H120" s="2">
        <f>_xlfn.XLOOKUP(G120, Direcții!B:B,Direcții!A:A, "NU GASIT",0)</f>
        <v>5</v>
      </c>
    </row>
    <row r="121" spans="1:8" ht="14.4" x14ac:dyDescent="0.3">
      <c r="A121" s="2">
        <v>455</v>
      </c>
      <c r="B121" s="2" t="s">
        <v>338</v>
      </c>
      <c r="C121" s="2" t="s">
        <v>330</v>
      </c>
      <c r="D121" s="2" t="s">
        <v>45</v>
      </c>
      <c r="E121" s="3">
        <v>442909</v>
      </c>
      <c r="F121" s="2" t="s">
        <v>409</v>
      </c>
      <c r="G121" s="2" t="s">
        <v>551</v>
      </c>
      <c r="H121" s="2">
        <f>_xlfn.XLOOKUP(G121, Direcții!B:B,Direcții!A:A, "NU GASIT",0)</f>
        <v>5</v>
      </c>
    </row>
    <row r="122" spans="1:8" ht="14.4" x14ac:dyDescent="0.3">
      <c r="A122" s="2">
        <v>456</v>
      </c>
      <c r="B122" s="2" t="s">
        <v>162</v>
      </c>
      <c r="C122" s="2" t="s">
        <v>330</v>
      </c>
      <c r="D122" s="2" t="s">
        <v>45</v>
      </c>
      <c r="E122" s="3">
        <v>680000</v>
      </c>
      <c r="F122" s="2" t="s">
        <v>409</v>
      </c>
      <c r="G122" s="2" t="s">
        <v>536</v>
      </c>
      <c r="H122" s="2">
        <f>_xlfn.XLOOKUP(G122, Direcții!B:B,Direcții!A:A, "NU GASIT",0)</f>
        <v>7</v>
      </c>
    </row>
    <row r="123" spans="1:8" ht="14.4" x14ac:dyDescent="0.3">
      <c r="A123" s="2">
        <v>458</v>
      </c>
      <c r="B123" s="2" t="s">
        <v>339</v>
      </c>
      <c r="C123" s="2" t="s">
        <v>330</v>
      </c>
      <c r="D123" s="2" t="s">
        <v>92</v>
      </c>
      <c r="E123" s="3">
        <v>189917.76</v>
      </c>
      <c r="F123" s="2" t="s">
        <v>408</v>
      </c>
      <c r="G123" s="2" t="s">
        <v>538</v>
      </c>
      <c r="H123" s="2">
        <f>_xlfn.XLOOKUP(G123, Direcții!B:B,Direcții!A:A, "NU GASIT",0)</f>
        <v>10</v>
      </c>
    </row>
    <row r="124" spans="1:8" ht="14.4" x14ac:dyDescent="0.3">
      <c r="A124" s="2">
        <v>460</v>
      </c>
      <c r="B124" s="2" t="s">
        <v>340</v>
      </c>
      <c r="C124" s="2" t="s">
        <v>330</v>
      </c>
      <c r="D124" s="2" t="s">
        <v>45</v>
      </c>
      <c r="E124" s="3">
        <v>223000</v>
      </c>
      <c r="F124" s="2" t="s">
        <v>408</v>
      </c>
      <c r="G124" s="2" t="s">
        <v>538</v>
      </c>
      <c r="H124" s="2">
        <f>_xlfn.XLOOKUP(G124, Direcții!B:B,Direcții!A:A, "NU GASIT",0)</f>
        <v>10</v>
      </c>
    </row>
    <row r="125" spans="1:8" ht="14.4" x14ac:dyDescent="0.3">
      <c r="A125" s="2">
        <v>465</v>
      </c>
      <c r="B125" s="2" t="s">
        <v>163</v>
      </c>
      <c r="C125" s="2" t="s">
        <v>331</v>
      </c>
      <c r="D125" s="2" t="s">
        <v>164</v>
      </c>
      <c r="E125" s="3">
        <v>62316</v>
      </c>
      <c r="F125" s="2" t="s">
        <v>408</v>
      </c>
      <c r="G125" s="2" t="s">
        <v>554</v>
      </c>
      <c r="H125" s="2">
        <f>_xlfn.XLOOKUP(G125, Direcții!B:B,Direcții!A:A, "NU GASIT",0)</f>
        <v>22</v>
      </c>
    </row>
    <row r="126" spans="1:8" ht="14.4" x14ac:dyDescent="0.3">
      <c r="A126" s="2">
        <v>466</v>
      </c>
      <c r="B126" s="2" t="s">
        <v>165</v>
      </c>
      <c r="C126" s="2" t="s">
        <v>331</v>
      </c>
      <c r="D126" s="2" t="s">
        <v>164</v>
      </c>
      <c r="E126" s="3">
        <v>70000</v>
      </c>
      <c r="F126" s="2" t="s">
        <v>408</v>
      </c>
      <c r="G126" s="2" t="s">
        <v>538</v>
      </c>
      <c r="H126" s="2">
        <f>_xlfn.XLOOKUP(G126, Direcții!B:B,Direcții!A:A, "NU GASIT",0)</f>
        <v>10</v>
      </c>
    </row>
    <row r="127" spans="1:8" ht="14.4" x14ac:dyDescent="0.3">
      <c r="A127" s="2">
        <v>467</v>
      </c>
      <c r="B127" s="2" t="s">
        <v>166</v>
      </c>
      <c r="C127" s="2" t="s">
        <v>331</v>
      </c>
      <c r="D127" s="2" t="s">
        <v>164</v>
      </c>
      <c r="E127" s="3">
        <v>84400</v>
      </c>
      <c r="F127" s="2" t="s">
        <v>408</v>
      </c>
      <c r="G127" s="2" t="s">
        <v>552</v>
      </c>
      <c r="H127" s="2">
        <f>_xlfn.XLOOKUP(G127, Direcții!B:B,Direcții!A:A, "NU GASIT",0)</f>
        <v>9</v>
      </c>
    </row>
    <row r="128" spans="1:8" ht="14.4" x14ac:dyDescent="0.3">
      <c r="A128" s="2">
        <v>468</v>
      </c>
      <c r="B128" s="2" t="s">
        <v>167</v>
      </c>
      <c r="C128" s="2" t="s">
        <v>331</v>
      </c>
      <c r="D128" s="2" t="s">
        <v>164</v>
      </c>
      <c r="E128" s="3">
        <v>7500</v>
      </c>
      <c r="F128" s="2" t="s">
        <v>408</v>
      </c>
      <c r="G128" s="2" t="s">
        <v>554</v>
      </c>
      <c r="H128" s="2">
        <f>_xlfn.XLOOKUP(G128, Direcții!B:B,Direcții!A:A, "NU GASIT",0)</f>
        <v>22</v>
      </c>
    </row>
    <row r="129" spans="1:8" ht="14.4" x14ac:dyDescent="0.3">
      <c r="A129" s="2">
        <v>469</v>
      </c>
      <c r="B129" s="2" t="s">
        <v>168</v>
      </c>
      <c r="C129" s="2" t="s">
        <v>331</v>
      </c>
      <c r="D129" s="2" t="s">
        <v>164</v>
      </c>
      <c r="E129" s="3">
        <v>2470</v>
      </c>
      <c r="F129" s="2" t="s">
        <v>408</v>
      </c>
      <c r="G129" s="2" t="s">
        <v>554</v>
      </c>
      <c r="H129" s="2">
        <f>_xlfn.XLOOKUP(G129, Direcții!B:B,Direcții!A:A, "NU GASIT",0)</f>
        <v>22</v>
      </c>
    </row>
    <row r="130" spans="1:8" ht="14.4" x14ac:dyDescent="0.3">
      <c r="A130" s="2">
        <v>470</v>
      </c>
      <c r="B130" s="2" t="s">
        <v>169</v>
      </c>
      <c r="C130" s="2" t="s">
        <v>331</v>
      </c>
      <c r="D130" s="2" t="s">
        <v>164</v>
      </c>
      <c r="E130" s="3">
        <v>35000</v>
      </c>
      <c r="F130" s="2" t="s">
        <v>408</v>
      </c>
      <c r="G130" s="2" t="s">
        <v>538</v>
      </c>
      <c r="H130" s="2">
        <f>_xlfn.XLOOKUP(G130, Direcții!B:B,Direcții!A:A, "NU GASIT",0)</f>
        <v>10</v>
      </c>
    </row>
    <row r="131" spans="1:8" ht="14.4" x14ac:dyDescent="0.3">
      <c r="A131" s="2">
        <v>471</v>
      </c>
      <c r="B131" s="2" t="s">
        <v>170</v>
      </c>
      <c r="C131" s="2" t="s">
        <v>331</v>
      </c>
      <c r="D131" s="2" t="s">
        <v>164</v>
      </c>
      <c r="E131" s="3">
        <v>300</v>
      </c>
      <c r="F131" s="2" t="s">
        <v>408</v>
      </c>
      <c r="G131" s="2" t="s">
        <v>546</v>
      </c>
      <c r="H131" s="2">
        <f>_xlfn.XLOOKUP(G131, Direcții!B:B,Direcții!A:A, "NU GASIT",0)</f>
        <v>12</v>
      </c>
    </row>
    <row r="132" spans="1:8" ht="14.4" x14ac:dyDescent="0.3">
      <c r="A132" s="2">
        <v>472</v>
      </c>
      <c r="B132" s="2" t="s">
        <v>171</v>
      </c>
      <c r="C132" s="2" t="s">
        <v>331</v>
      </c>
      <c r="D132" s="2" t="s">
        <v>164</v>
      </c>
      <c r="E132" s="3">
        <v>22900</v>
      </c>
      <c r="F132" s="2" t="s">
        <v>408</v>
      </c>
      <c r="G132" s="2" t="s">
        <v>552</v>
      </c>
      <c r="H132" s="2">
        <f>_xlfn.XLOOKUP(G132, Direcții!B:B,Direcții!A:A, "NU GASIT",0)</f>
        <v>9</v>
      </c>
    </row>
    <row r="133" spans="1:8" ht="14.4" x14ac:dyDescent="0.3">
      <c r="A133" s="2">
        <v>473</v>
      </c>
      <c r="B133" s="2" t="s">
        <v>172</v>
      </c>
      <c r="C133" s="2" t="s">
        <v>331</v>
      </c>
      <c r="D133" s="2" t="s">
        <v>164</v>
      </c>
      <c r="E133" s="3">
        <v>34000</v>
      </c>
      <c r="F133" s="2" t="s">
        <v>408</v>
      </c>
      <c r="G133" s="2" t="s">
        <v>538</v>
      </c>
      <c r="H133" s="2">
        <f>_xlfn.XLOOKUP(G133, Direcții!B:B,Direcții!A:A, "NU GASIT",0)</f>
        <v>10</v>
      </c>
    </row>
    <row r="134" spans="1:8" ht="14.4" x14ac:dyDescent="0.3">
      <c r="A134" s="2">
        <v>474</v>
      </c>
      <c r="B134" s="2" t="s">
        <v>173</v>
      </c>
      <c r="C134" s="2" t="s">
        <v>331</v>
      </c>
      <c r="D134" s="2" t="s">
        <v>164</v>
      </c>
      <c r="E134" s="3">
        <v>25000</v>
      </c>
      <c r="F134" s="2" t="s">
        <v>408</v>
      </c>
      <c r="G134" s="2" t="s">
        <v>561</v>
      </c>
      <c r="H134" s="2">
        <f>_xlfn.XLOOKUP(G134, Direcții!B:B,Direcții!A:A, "NU GASIT",0)</f>
        <v>6</v>
      </c>
    </row>
    <row r="135" spans="1:8" ht="14.4" x14ac:dyDescent="0.3">
      <c r="A135" s="2">
        <v>475</v>
      </c>
      <c r="B135" s="2" t="s">
        <v>174</v>
      </c>
      <c r="C135" s="2" t="s">
        <v>331</v>
      </c>
      <c r="D135" s="2" t="s">
        <v>164</v>
      </c>
      <c r="E135" s="3">
        <v>16100</v>
      </c>
      <c r="F135" s="2" t="s">
        <v>409</v>
      </c>
      <c r="G135" s="2" t="s">
        <v>552</v>
      </c>
      <c r="H135" s="2">
        <f>_xlfn.XLOOKUP(G135, Direcții!B:B,Direcții!A:A, "NU GASIT",0)</f>
        <v>9</v>
      </c>
    </row>
    <row r="136" spans="1:8" ht="14.4" x14ac:dyDescent="0.3">
      <c r="A136" s="2">
        <v>476</v>
      </c>
      <c r="B136" s="2" t="s">
        <v>175</v>
      </c>
      <c r="C136" s="2" t="s">
        <v>331</v>
      </c>
      <c r="D136" s="2" t="s">
        <v>164</v>
      </c>
      <c r="E136" s="3">
        <v>15000</v>
      </c>
      <c r="F136" s="2" t="s">
        <v>408</v>
      </c>
      <c r="G136" s="2" t="s">
        <v>538</v>
      </c>
      <c r="H136" s="2">
        <f>_xlfn.XLOOKUP(G136, Direcții!B:B,Direcții!A:A, "NU GASIT",0)</f>
        <v>10</v>
      </c>
    </row>
    <row r="137" spans="1:8" ht="14.4" x14ac:dyDescent="0.3">
      <c r="A137" s="2">
        <v>477</v>
      </c>
      <c r="B137" s="2" t="s">
        <v>176</v>
      </c>
      <c r="C137" s="2" t="s">
        <v>331</v>
      </c>
      <c r="D137" s="2" t="s">
        <v>164</v>
      </c>
      <c r="E137" s="3">
        <v>30000</v>
      </c>
      <c r="F137" s="2" t="s">
        <v>408</v>
      </c>
      <c r="G137" s="2" t="s">
        <v>561</v>
      </c>
      <c r="H137" s="2">
        <f>_xlfn.XLOOKUP(G137, Direcții!B:B,Direcții!A:A, "NU GASIT",0)</f>
        <v>6</v>
      </c>
    </row>
    <row r="138" spans="1:8" ht="14.4" x14ac:dyDescent="0.3">
      <c r="A138" s="2">
        <v>478</v>
      </c>
      <c r="B138" s="2" t="s">
        <v>177</v>
      </c>
      <c r="C138" s="2" t="s">
        <v>331</v>
      </c>
      <c r="D138" s="2" t="s">
        <v>164</v>
      </c>
      <c r="E138" s="3">
        <v>100000</v>
      </c>
      <c r="F138" s="2" t="s">
        <v>408</v>
      </c>
      <c r="G138" s="2" t="s">
        <v>538</v>
      </c>
      <c r="H138" s="2">
        <f>_xlfn.XLOOKUP(G138, Direcții!B:B,Direcții!A:A, "NU GASIT",0)</f>
        <v>10</v>
      </c>
    </row>
    <row r="139" spans="1:8" ht="14.4" x14ac:dyDescent="0.3">
      <c r="A139" s="2">
        <v>479</v>
      </c>
      <c r="B139" s="2" t="s">
        <v>178</v>
      </c>
      <c r="C139" s="2" t="s">
        <v>331</v>
      </c>
      <c r="D139" s="2" t="s">
        <v>164</v>
      </c>
      <c r="E139" s="3">
        <v>2000</v>
      </c>
      <c r="F139" s="2" t="s">
        <v>408</v>
      </c>
      <c r="G139" s="2" t="s">
        <v>552</v>
      </c>
      <c r="H139" s="2">
        <f>_xlfn.XLOOKUP(G139, Direcții!B:B,Direcții!A:A, "NU GASIT",0)</f>
        <v>9</v>
      </c>
    </row>
    <row r="140" spans="1:8" ht="14.4" x14ac:dyDescent="0.3">
      <c r="A140" s="2">
        <v>480</v>
      </c>
      <c r="B140" s="2" t="s">
        <v>179</v>
      </c>
      <c r="C140" s="2" t="s">
        <v>331</v>
      </c>
      <c r="D140" s="2" t="s">
        <v>164</v>
      </c>
      <c r="E140" s="3">
        <v>65000</v>
      </c>
      <c r="F140" s="2" t="s">
        <v>409</v>
      </c>
      <c r="G140" s="2" t="s">
        <v>561</v>
      </c>
      <c r="H140" s="2">
        <f>_xlfn.XLOOKUP(G140, Direcții!B:B,Direcții!A:A, "NU GASIT",0)</f>
        <v>6</v>
      </c>
    </row>
    <row r="141" spans="1:8" ht="14.4" x14ac:dyDescent="0.3">
      <c r="A141" s="2">
        <v>481</v>
      </c>
      <c r="B141" s="2" t="s">
        <v>180</v>
      </c>
      <c r="C141" s="2" t="s">
        <v>331</v>
      </c>
      <c r="D141" s="2" t="s">
        <v>164</v>
      </c>
      <c r="E141" s="3">
        <v>3682.35</v>
      </c>
      <c r="F141" s="2" t="s">
        <v>408</v>
      </c>
      <c r="G141" s="2" t="s">
        <v>546</v>
      </c>
      <c r="H141" s="2">
        <f>_xlfn.XLOOKUP(G141, Direcții!B:B,Direcții!A:A, "NU GASIT",0)</f>
        <v>12</v>
      </c>
    </row>
    <row r="142" spans="1:8" ht="14.4" x14ac:dyDescent="0.3">
      <c r="A142" s="2">
        <v>482</v>
      </c>
      <c r="B142" s="2" t="s">
        <v>181</v>
      </c>
      <c r="C142" s="2" t="s">
        <v>331</v>
      </c>
      <c r="D142" s="2" t="s">
        <v>164</v>
      </c>
      <c r="E142" s="3">
        <v>60000</v>
      </c>
      <c r="F142" s="2" t="s">
        <v>408</v>
      </c>
      <c r="G142" s="2" t="s">
        <v>554</v>
      </c>
      <c r="H142" s="2">
        <f>_xlfn.XLOOKUP(G142, Direcții!B:B,Direcții!A:A, "NU GASIT",0)</f>
        <v>22</v>
      </c>
    </row>
    <row r="143" spans="1:8" ht="14.4" x14ac:dyDescent="0.3">
      <c r="A143" s="2">
        <v>483</v>
      </c>
      <c r="B143" s="2" t="s">
        <v>182</v>
      </c>
      <c r="C143" s="2" t="s">
        <v>331</v>
      </c>
      <c r="D143" s="2" t="s">
        <v>164</v>
      </c>
      <c r="E143" s="3">
        <v>12500</v>
      </c>
      <c r="F143" s="2" t="s">
        <v>408</v>
      </c>
      <c r="G143" s="2" t="s">
        <v>538</v>
      </c>
      <c r="H143" s="2">
        <f>_xlfn.XLOOKUP(G143, Direcții!B:B,Direcții!A:A, "NU GASIT",0)</f>
        <v>10</v>
      </c>
    </row>
    <row r="144" spans="1:8" ht="14.4" x14ac:dyDescent="0.3">
      <c r="A144" s="2">
        <v>484</v>
      </c>
      <c r="B144" s="2" t="s">
        <v>183</v>
      </c>
      <c r="C144" s="2" t="s">
        <v>331</v>
      </c>
      <c r="D144" s="2" t="s">
        <v>164</v>
      </c>
      <c r="E144" s="3">
        <v>8400</v>
      </c>
      <c r="F144" s="2" t="s">
        <v>408</v>
      </c>
      <c r="G144" s="2" t="s">
        <v>538</v>
      </c>
      <c r="H144" s="2">
        <f>_xlfn.XLOOKUP(G144, Direcții!B:B,Direcții!A:A, "NU GASIT",0)</f>
        <v>10</v>
      </c>
    </row>
    <row r="145" spans="1:8" ht="14.4" x14ac:dyDescent="0.3">
      <c r="A145" s="2">
        <v>485</v>
      </c>
      <c r="B145" s="2" t="s">
        <v>184</v>
      </c>
      <c r="C145" s="2" t="s">
        <v>331</v>
      </c>
      <c r="D145" s="2" t="s">
        <v>164</v>
      </c>
      <c r="E145" s="3">
        <v>6500</v>
      </c>
      <c r="F145" s="2" t="s">
        <v>408</v>
      </c>
      <c r="G145" s="2" t="s">
        <v>538</v>
      </c>
      <c r="H145" s="2">
        <f>_xlfn.XLOOKUP(G145, Direcții!B:B,Direcții!A:A, "NU GASIT",0)</f>
        <v>10</v>
      </c>
    </row>
    <row r="146" spans="1:8" ht="14.4" x14ac:dyDescent="0.3">
      <c r="A146" s="2">
        <v>486</v>
      </c>
      <c r="B146" s="2" t="s">
        <v>185</v>
      </c>
      <c r="C146" s="2" t="s">
        <v>331</v>
      </c>
      <c r="D146" s="2" t="s">
        <v>164</v>
      </c>
      <c r="E146" s="3">
        <v>15000</v>
      </c>
      <c r="F146" s="2" t="s">
        <v>408</v>
      </c>
      <c r="G146" s="2" t="s">
        <v>538</v>
      </c>
      <c r="H146" s="2">
        <f>_xlfn.XLOOKUP(G146, Direcții!B:B,Direcții!A:A, "NU GASIT",0)</f>
        <v>10</v>
      </c>
    </row>
    <row r="147" spans="1:8" ht="14.4" x14ac:dyDescent="0.3">
      <c r="A147" s="2">
        <v>487</v>
      </c>
      <c r="B147" s="2" t="s">
        <v>186</v>
      </c>
      <c r="C147" s="2" t="s">
        <v>331</v>
      </c>
      <c r="D147" s="2" t="s">
        <v>164</v>
      </c>
      <c r="E147" s="3">
        <v>13200</v>
      </c>
      <c r="F147" s="2" t="s">
        <v>408</v>
      </c>
      <c r="G147" s="2" t="s">
        <v>538</v>
      </c>
      <c r="H147" s="2">
        <f>_xlfn.XLOOKUP(G147, Direcții!B:B,Direcții!A:A, "NU GASIT",0)</f>
        <v>10</v>
      </c>
    </row>
    <row r="148" spans="1:8" ht="14.4" x14ac:dyDescent="0.3">
      <c r="A148" s="2">
        <v>488</v>
      </c>
      <c r="B148" s="2" t="s">
        <v>187</v>
      </c>
      <c r="C148" s="2" t="s">
        <v>331</v>
      </c>
      <c r="D148" s="2" t="s">
        <v>164</v>
      </c>
      <c r="E148" s="3">
        <v>23102.27</v>
      </c>
      <c r="F148" s="2" t="s">
        <v>408</v>
      </c>
      <c r="G148" s="2" t="s">
        <v>552</v>
      </c>
      <c r="H148" s="2">
        <f>_xlfn.XLOOKUP(G148, Direcții!B:B,Direcții!A:A, "NU GASIT",0)</f>
        <v>9</v>
      </c>
    </row>
    <row r="149" spans="1:8" ht="14.4" x14ac:dyDescent="0.3">
      <c r="A149" s="2">
        <v>489</v>
      </c>
      <c r="B149" s="2" t="s">
        <v>188</v>
      </c>
      <c r="C149" s="2" t="s">
        <v>331</v>
      </c>
      <c r="D149" s="2" t="s">
        <v>164</v>
      </c>
      <c r="E149" s="3">
        <v>259397.68</v>
      </c>
      <c r="F149" s="2" t="s">
        <v>408</v>
      </c>
      <c r="G149" s="2" t="s">
        <v>552</v>
      </c>
      <c r="H149" s="2">
        <f>_xlfn.XLOOKUP(G149, Direcții!B:B,Direcții!A:A, "NU GASIT",0)</f>
        <v>9</v>
      </c>
    </row>
    <row r="150" spans="1:8" ht="14.4" x14ac:dyDescent="0.3">
      <c r="A150" s="2">
        <v>490</v>
      </c>
      <c r="B150" s="2" t="s">
        <v>189</v>
      </c>
      <c r="C150" s="2" t="s">
        <v>331</v>
      </c>
      <c r="D150" s="2" t="s">
        <v>164</v>
      </c>
      <c r="E150" s="3">
        <v>46417.64</v>
      </c>
      <c r="F150" s="2" t="s">
        <v>408</v>
      </c>
      <c r="G150" s="2" t="s">
        <v>552</v>
      </c>
      <c r="H150" s="2">
        <f>_xlfn.XLOOKUP(G150, Direcții!B:B,Direcții!A:A, "NU GASIT",0)</f>
        <v>9</v>
      </c>
    </row>
    <row r="151" spans="1:8" ht="14.4" x14ac:dyDescent="0.3">
      <c r="A151" s="2">
        <v>491</v>
      </c>
      <c r="B151" s="2" t="s">
        <v>189</v>
      </c>
      <c r="C151" s="2" t="s">
        <v>331</v>
      </c>
      <c r="D151" s="2" t="s">
        <v>164</v>
      </c>
      <c r="E151" s="3">
        <v>15000</v>
      </c>
      <c r="F151" s="2" t="s">
        <v>408</v>
      </c>
      <c r="G151" s="2" t="s">
        <v>538</v>
      </c>
      <c r="H151" s="2">
        <f>_xlfn.XLOOKUP(G151, Direcții!B:B,Direcții!A:A, "NU GASIT",0)</f>
        <v>10</v>
      </c>
    </row>
    <row r="152" spans="1:8" ht="14.4" x14ac:dyDescent="0.3">
      <c r="A152" s="2">
        <v>492</v>
      </c>
      <c r="B152" s="2" t="s">
        <v>190</v>
      </c>
      <c r="C152" s="2" t="s">
        <v>331</v>
      </c>
      <c r="D152" s="2" t="s">
        <v>164</v>
      </c>
      <c r="E152" s="3">
        <v>21563</v>
      </c>
      <c r="F152" s="2" t="s">
        <v>408</v>
      </c>
      <c r="G152" s="2" t="s">
        <v>552</v>
      </c>
      <c r="H152" s="2">
        <f>_xlfn.XLOOKUP(G152, Direcții!B:B,Direcții!A:A, "NU GASIT",0)</f>
        <v>9</v>
      </c>
    </row>
    <row r="153" spans="1:8" ht="14.4" x14ac:dyDescent="0.3">
      <c r="A153" s="2">
        <v>493</v>
      </c>
      <c r="B153" s="2" t="s">
        <v>191</v>
      </c>
      <c r="C153" s="2" t="s">
        <v>331</v>
      </c>
      <c r="D153" s="2" t="s">
        <v>164</v>
      </c>
      <c r="E153" s="3">
        <v>15000</v>
      </c>
      <c r="F153" s="2" t="s">
        <v>408</v>
      </c>
      <c r="G153" s="2" t="s">
        <v>538</v>
      </c>
      <c r="H153" s="2">
        <f>_xlfn.XLOOKUP(G153, Direcții!B:B,Direcții!A:A, "NU GASIT",0)</f>
        <v>10</v>
      </c>
    </row>
    <row r="154" spans="1:8" ht="14.4" x14ac:dyDescent="0.3">
      <c r="A154" s="2">
        <v>494</v>
      </c>
      <c r="B154" s="2" t="s">
        <v>192</v>
      </c>
      <c r="C154" s="2" t="s">
        <v>331</v>
      </c>
      <c r="D154" s="2" t="s">
        <v>164</v>
      </c>
      <c r="E154" s="3">
        <v>2420</v>
      </c>
      <c r="F154" s="2" t="s">
        <v>408</v>
      </c>
      <c r="G154" s="2" t="s">
        <v>538</v>
      </c>
      <c r="H154" s="2">
        <f>_xlfn.XLOOKUP(G154, Direcții!B:B,Direcții!A:A, "NU GASIT",0)</f>
        <v>10</v>
      </c>
    </row>
    <row r="155" spans="1:8" ht="14.4" x14ac:dyDescent="0.3">
      <c r="A155" s="2">
        <v>495</v>
      </c>
      <c r="B155" s="2" t="s">
        <v>193</v>
      </c>
      <c r="C155" s="2" t="s">
        <v>331</v>
      </c>
      <c r="D155" s="2" t="s">
        <v>164</v>
      </c>
      <c r="E155" s="3">
        <v>1350</v>
      </c>
      <c r="F155" s="2" t="s">
        <v>408</v>
      </c>
      <c r="G155" s="2" t="s">
        <v>538</v>
      </c>
      <c r="H155" s="2">
        <f>_xlfn.XLOOKUP(G155, Direcții!B:B,Direcții!A:A, "NU GASIT",0)</f>
        <v>10</v>
      </c>
    </row>
    <row r="156" spans="1:8" ht="14.4" x14ac:dyDescent="0.3">
      <c r="A156" s="2">
        <v>496</v>
      </c>
      <c r="B156" s="2" t="s">
        <v>194</v>
      </c>
      <c r="C156" s="2" t="s">
        <v>331</v>
      </c>
      <c r="D156" s="2" t="s">
        <v>164</v>
      </c>
      <c r="E156" s="3">
        <v>46470</v>
      </c>
      <c r="F156" s="2" t="s">
        <v>408</v>
      </c>
      <c r="G156" s="2" t="s">
        <v>538</v>
      </c>
      <c r="H156" s="2">
        <f>_xlfn.XLOOKUP(G156, Direcții!B:B,Direcții!A:A, "NU GASIT",0)</f>
        <v>10</v>
      </c>
    </row>
    <row r="157" spans="1:8" ht="14.4" x14ac:dyDescent="0.3">
      <c r="A157" s="2">
        <v>497</v>
      </c>
      <c r="B157" s="2" t="s">
        <v>195</v>
      </c>
      <c r="C157" s="2" t="s">
        <v>331</v>
      </c>
      <c r="D157" s="2" t="s">
        <v>164</v>
      </c>
      <c r="E157" s="3">
        <v>33851</v>
      </c>
      <c r="F157" s="2" t="s">
        <v>408</v>
      </c>
      <c r="G157" s="2" t="s">
        <v>552</v>
      </c>
      <c r="H157" s="2">
        <f>_xlfn.XLOOKUP(G157, Direcții!B:B,Direcții!A:A, "NU GASIT",0)</f>
        <v>9</v>
      </c>
    </row>
    <row r="158" spans="1:8" ht="14.4" x14ac:dyDescent="0.3">
      <c r="A158" s="2">
        <v>498</v>
      </c>
      <c r="B158" s="2" t="s">
        <v>196</v>
      </c>
      <c r="C158" s="2" t="s">
        <v>331</v>
      </c>
      <c r="D158" s="2" t="s">
        <v>164</v>
      </c>
      <c r="E158" s="3">
        <v>4213</v>
      </c>
      <c r="F158" s="2" t="s">
        <v>408</v>
      </c>
      <c r="G158" s="2" t="s">
        <v>552</v>
      </c>
      <c r="H158" s="2">
        <f>_xlfn.XLOOKUP(G158, Direcții!B:B,Direcții!A:A, "NU GASIT",0)</f>
        <v>9</v>
      </c>
    </row>
    <row r="159" spans="1:8" ht="14.4" x14ac:dyDescent="0.3">
      <c r="A159" s="2">
        <v>499</v>
      </c>
      <c r="B159" s="2" t="s">
        <v>197</v>
      </c>
      <c r="C159" s="2" t="s">
        <v>331</v>
      </c>
      <c r="D159" s="2" t="s">
        <v>164</v>
      </c>
      <c r="E159" s="3">
        <v>2033.6</v>
      </c>
      <c r="F159" s="2" t="s">
        <v>408</v>
      </c>
      <c r="G159" s="2" t="s">
        <v>538</v>
      </c>
      <c r="H159" s="2">
        <f>_xlfn.XLOOKUP(G159, Direcții!B:B,Direcții!A:A, "NU GASIT",0)</f>
        <v>10</v>
      </c>
    </row>
    <row r="160" spans="1:8" ht="14.4" x14ac:dyDescent="0.3">
      <c r="A160" s="2">
        <v>500</v>
      </c>
      <c r="B160" s="2" t="s">
        <v>198</v>
      </c>
      <c r="C160" s="2" t="s">
        <v>331</v>
      </c>
      <c r="D160" s="2" t="s">
        <v>164</v>
      </c>
      <c r="E160" s="3">
        <v>125000</v>
      </c>
      <c r="F160" s="2" t="s">
        <v>408</v>
      </c>
      <c r="G160" s="2" t="s">
        <v>538</v>
      </c>
      <c r="H160" s="2">
        <f>_xlfn.XLOOKUP(G160, Direcții!B:B,Direcții!A:A, "NU GASIT",0)</f>
        <v>10</v>
      </c>
    </row>
    <row r="161" spans="1:8" ht="14.4" x14ac:dyDescent="0.3">
      <c r="A161" s="2">
        <v>501</v>
      </c>
      <c r="B161" s="2" t="s">
        <v>199</v>
      </c>
      <c r="C161" s="2" t="s">
        <v>331</v>
      </c>
      <c r="D161" s="2" t="s">
        <v>164</v>
      </c>
      <c r="E161" s="3">
        <v>20000</v>
      </c>
      <c r="F161" s="2" t="s">
        <v>408</v>
      </c>
      <c r="G161" s="2" t="s">
        <v>538</v>
      </c>
      <c r="H161" s="2">
        <f>_xlfn.XLOOKUP(G161, Direcții!B:B,Direcții!A:A, "NU GASIT",0)</f>
        <v>10</v>
      </c>
    </row>
    <row r="162" spans="1:8" ht="14.4" x14ac:dyDescent="0.3">
      <c r="A162" s="2">
        <v>502</v>
      </c>
      <c r="B162" s="2" t="s">
        <v>200</v>
      </c>
      <c r="C162" s="2" t="s">
        <v>331</v>
      </c>
      <c r="D162" s="2" t="s">
        <v>164</v>
      </c>
      <c r="E162" s="3">
        <v>10000</v>
      </c>
      <c r="F162" s="2" t="s">
        <v>408</v>
      </c>
      <c r="G162" s="2" t="s">
        <v>538</v>
      </c>
      <c r="H162" s="2">
        <f>_xlfn.XLOOKUP(G162, Direcții!B:B,Direcții!A:A, "NU GASIT",0)</f>
        <v>10</v>
      </c>
    </row>
    <row r="163" spans="1:8" ht="14.4" x14ac:dyDescent="0.3">
      <c r="A163" s="2">
        <v>503</v>
      </c>
      <c r="B163" s="2" t="s">
        <v>201</v>
      </c>
      <c r="C163" s="2" t="s">
        <v>331</v>
      </c>
      <c r="D163" s="2" t="s">
        <v>164</v>
      </c>
      <c r="E163" s="3">
        <v>20000</v>
      </c>
      <c r="F163" s="2" t="s">
        <v>408</v>
      </c>
      <c r="G163" s="2" t="s">
        <v>538</v>
      </c>
      <c r="H163" s="2">
        <f>_xlfn.XLOOKUP(G163, Direcții!B:B,Direcții!A:A, "NU GASIT",0)</f>
        <v>10</v>
      </c>
    </row>
    <row r="164" spans="1:8" ht="14.4" x14ac:dyDescent="0.3">
      <c r="A164" s="2">
        <v>504</v>
      </c>
      <c r="B164" s="2" t="s">
        <v>202</v>
      </c>
      <c r="C164" s="2" t="s">
        <v>331</v>
      </c>
      <c r="D164" s="2" t="s">
        <v>164</v>
      </c>
      <c r="E164" s="3">
        <v>16000</v>
      </c>
      <c r="F164" s="2" t="s">
        <v>408</v>
      </c>
      <c r="G164" s="2" t="s">
        <v>538</v>
      </c>
      <c r="H164" s="2">
        <f>_xlfn.XLOOKUP(G164, Direcții!B:B,Direcții!A:A, "NU GASIT",0)</f>
        <v>10</v>
      </c>
    </row>
    <row r="165" spans="1:8" ht="14.4" x14ac:dyDescent="0.3">
      <c r="A165" s="2">
        <v>505</v>
      </c>
      <c r="B165" s="2" t="s">
        <v>203</v>
      </c>
      <c r="C165" s="2" t="s">
        <v>331</v>
      </c>
      <c r="D165" s="2" t="s">
        <v>164</v>
      </c>
      <c r="E165" s="3">
        <v>6500</v>
      </c>
      <c r="F165" s="2" t="s">
        <v>408</v>
      </c>
      <c r="G165" s="2" t="s">
        <v>538</v>
      </c>
      <c r="H165" s="2">
        <f>_xlfn.XLOOKUP(G165, Direcții!B:B,Direcții!A:A, "NU GASIT",0)</f>
        <v>10</v>
      </c>
    </row>
    <row r="166" spans="1:8" ht="14.4" x14ac:dyDescent="0.3">
      <c r="A166" s="2">
        <v>506</v>
      </c>
      <c r="B166" s="2" t="s">
        <v>204</v>
      </c>
      <c r="C166" s="2" t="s">
        <v>331</v>
      </c>
      <c r="D166" s="2" t="s">
        <v>164</v>
      </c>
      <c r="E166" s="3">
        <v>30000</v>
      </c>
      <c r="F166" s="2" t="s">
        <v>408</v>
      </c>
      <c r="G166" s="2" t="s">
        <v>538</v>
      </c>
      <c r="H166" s="2">
        <f>_xlfn.XLOOKUP(G166, Direcții!B:B,Direcții!A:A, "NU GASIT",0)</f>
        <v>10</v>
      </c>
    </row>
    <row r="167" spans="1:8" ht="14.4" x14ac:dyDescent="0.3">
      <c r="A167" s="2">
        <v>507</v>
      </c>
      <c r="B167" s="2" t="s">
        <v>205</v>
      </c>
      <c r="C167" s="2" t="s">
        <v>331</v>
      </c>
      <c r="D167" s="2" t="s">
        <v>164</v>
      </c>
      <c r="E167" s="3">
        <v>62690</v>
      </c>
      <c r="F167" s="2" t="s">
        <v>408</v>
      </c>
      <c r="G167" s="2" t="s">
        <v>696</v>
      </c>
      <c r="H167" s="2">
        <f>_xlfn.XLOOKUP(G167, Direcții!B:B,Direcții!A:A, "NU GASIT",0)</f>
        <v>23</v>
      </c>
    </row>
    <row r="168" spans="1:8" ht="14.4" x14ac:dyDescent="0.3">
      <c r="A168" s="2">
        <v>508</v>
      </c>
      <c r="B168" s="2" t="s">
        <v>206</v>
      </c>
      <c r="C168" s="2" t="s">
        <v>331</v>
      </c>
      <c r="D168" s="2" t="s">
        <v>164</v>
      </c>
      <c r="E168" s="3">
        <v>58025</v>
      </c>
      <c r="F168" s="2" t="s">
        <v>408</v>
      </c>
      <c r="G168" s="2" t="s">
        <v>696</v>
      </c>
      <c r="H168" s="2">
        <f>_xlfn.XLOOKUP(G168, Direcții!B:B,Direcții!A:A, "NU GASIT",0)</f>
        <v>23</v>
      </c>
    </row>
    <row r="169" spans="1:8" ht="14.4" x14ac:dyDescent="0.3">
      <c r="A169" s="2">
        <v>509</v>
      </c>
      <c r="B169" s="2" t="s">
        <v>207</v>
      </c>
      <c r="C169" s="2" t="s">
        <v>331</v>
      </c>
      <c r="D169" s="2" t="s">
        <v>164</v>
      </c>
      <c r="E169" s="3">
        <v>27328</v>
      </c>
      <c r="F169" s="2" t="s">
        <v>408</v>
      </c>
      <c r="G169" s="2" t="s">
        <v>538</v>
      </c>
      <c r="H169" s="2">
        <f>_xlfn.XLOOKUP(G169, Direcții!B:B,Direcții!A:A, "NU GASIT",0)</f>
        <v>10</v>
      </c>
    </row>
    <row r="170" spans="1:8" ht="14.4" x14ac:dyDescent="0.3">
      <c r="A170" s="2">
        <v>510</v>
      </c>
      <c r="B170" s="2" t="s">
        <v>208</v>
      </c>
      <c r="C170" s="2" t="s">
        <v>331</v>
      </c>
      <c r="D170" s="2" t="s">
        <v>164</v>
      </c>
      <c r="E170" s="3">
        <v>3972</v>
      </c>
      <c r="F170" s="2" t="s">
        <v>408</v>
      </c>
      <c r="G170" s="2" t="s">
        <v>538</v>
      </c>
      <c r="H170" s="2">
        <f>_xlfn.XLOOKUP(G170, Direcții!B:B,Direcții!A:A, "NU GASIT",0)</f>
        <v>10</v>
      </c>
    </row>
    <row r="171" spans="1:8" ht="14.4" x14ac:dyDescent="0.3">
      <c r="A171" s="2">
        <v>511</v>
      </c>
      <c r="B171" s="2" t="s">
        <v>209</v>
      </c>
      <c r="C171" s="2" t="s">
        <v>331</v>
      </c>
      <c r="D171" s="2" t="s">
        <v>164</v>
      </c>
      <c r="E171" s="3">
        <v>3200</v>
      </c>
      <c r="F171" s="2" t="s">
        <v>408</v>
      </c>
      <c r="G171" s="2" t="s">
        <v>552</v>
      </c>
      <c r="H171" s="2">
        <f>_xlfn.XLOOKUP(G171, Direcții!B:B,Direcții!A:A, "NU GASIT",0)</f>
        <v>9</v>
      </c>
    </row>
    <row r="172" spans="1:8" ht="14.4" x14ac:dyDescent="0.3">
      <c r="A172" s="2">
        <v>512</v>
      </c>
      <c r="B172" s="2" t="s">
        <v>210</v>
      </c>
      <c r="C172" s="2" t="s">
        <v>331</v>
      </c>
      <c r="D172" s="2" t="s">
        <v>164</v>
      </c>
      <c r="E172" s="3">
        <v>2248</v>
      </c>
      <c r="F172" s="2" t="s">
        <v>408</v>
      </c>
      <c r="G172" s="2" t="s">
        <v>552</v>
      </c>
      <c r="H172" s="2">
        <f>_xlfn.XLOOKUP(G172, Direcții!B:B,Direcții!A:A, "NU GASIT",0)</f>
        <v>9</v>
      </c>
    </row>
    <row r="173" spans="1:8" ht="14.4" x14ac:dyDescent="0.3">
      <c r="A173" s="2">
        <v>513</v>
      </c>
      <c r="B173" s="2" t="s">
        <v>211</v>
      </c>
      <c r="C173" s="2" t="s">
        <v>331</v>
      </c>
      <c r="D173" s="2" t="s">
        <v>164</v>
      </c>
      <c r="E173" s="3">
        <v>4900</v>
      </c>
      <c r="F173" s="2" t="s">
        <v>408</v>
      </c>
      <c r="G173" s="2" t="s">
        <v>552</v>
      </c>
      <c r="H173" s="2">
        <f>_xlfn.XLOOKUP(G173, Direcții!B:B,Direcții!A:A, "NU GASIT",0)</f>
        <v>9</v>
      </c>
    </row>
    <row r="174" spans="1:8" ht="14.4" x14ac:dyDescent="0.3">
      <c r="A174" s="2">
        <v>514</v>
      </c>
      <c r="B174" s="2" t="s">
        <v>212</v>
      </c>
      <c r="C174" s="2" t="s">
        <v>331</v>
      </c>
      <c r="D174" s="2" t="s">
        <v>164</v>
      </c>
      <c r="E174" s="3">
        <v>8397.0300000000007</v>
      </c>
      <c r="F174" s="2" t="s">
        <v>408</v>
      </c>
      <c r="G174" s="2" t="s">
        <v>552</v>
      </c>
      <c r="H174" s="2">
        <f>_xlfn.XLOOKUP(G174, Direcții!B:B,Direcții!A:A, "NU GASIT",0)</f>
        <v>9</v>
      </c>
    </row>
    <row r="175" spans="1:8" ht="14.4" x14ac:dyDescent="0.3">
      <c r="A175" s="2">
        <v>515</v>
      </c>
      <c r="B175" s="2" t="s">
        <v>213</v>
      </c>
      <c r="C175" s="2" t="s">
        <v>331</v>
      </c>
      <c r="D175" s="2" t="s">
        <v>164</v>
      </c>
      <c r="E175" s="3">
        <v>5248.61</v>
      </c>
      <c r="F175" s="2" t="s">
        <v>408</v>
      </c>
      <c r="G175" s="2" t="s">
        <v>552</v>
      </c>
      <c r="H175" s="2">
        <f>_xlfn.XLOOKUP(G175, Direcții!B:B,Direcții!A:A, "NU GASIT",0)</f>
        <v>9</v>
      </c>
    </row>
    <row r="176" spans="1:8" ht="14.4" x14ac:dyDescent="0.3">
      <c r="A176" s="2">
        <v>516</v>
      </c>
      <c r="B176" s="2" t="s">
        <v>214</v>
      </c>
      <c r="C176" s="2" t="s">
        <v>331</v>
      </c>
      <c r="D176" s="2" t="s">
        <v>164</v>
      </c>
      <c r="E176" s="3">
        <v>8010</v>
      </c>
      <c r="F176" s="2" t="s">
        <v>408</v>
      </c>
      <c r="G176" s="2" t="s">
        <v>552</v>
      </c>
      <c r="H176" s="2">
        <f>_xlfn.XLOOKUP(G176, Direcții!B:B,Direcții!A:A, "NU GASIT",0)</f>
        <v>9</v>
      </c>
    </row>
    <row r="177" spans="1:8" ht="14.4" x14ac:dyDescent="0.3">
      <c r="A177" s="2">
        <v>517</v>
      </c>
      <c r="B177" s="2" t="s">
        <v>215</v>
      </c>
      <c r="C177" s="2" t="s">
        <v>331</v>
      </c>
      <c r="D177" s="2" t="s">
        <v>164</v>
      </c>
      <c r="E177" s="3">
        <v>19360</v>
      </c>
      <c r="F177" s="2" t="s">
        <v>408</v>
      </c>
      <c r="G177" s="2" t="s">
        <v>552</v>
      </c>
      <c r="H177" s="2">
        <f>_xlfn.XLOOKUP(G177, Direcții!B:B,Direcții!A:A, "NU GASIT",0)</f>
        <v>9</v>
      </c>
    </row>
    <row r="178" spans="1:8" ht="14.4" x14ac:dyDescent="0.3">
      <c r="A178" s="2">
        <v>518</v>
      </c>
      <c r="B178" s="2" t="s">
        <v>216</v>
      </c>
      <c r="C178" s="2" t="s">
        <v>331</v>
      </c>
      <c r="D178" s="2" t="s">
        <v>164</v>
      </c>
      <c r="E178" s="3">
        <v>913.05</v>
      </c>
      <c r="F178" s="2" t="s">
        <v>408</v>
      </c>
      <c r="G178" s="2" t="s">
        <v>538</v>
      </c>
      <c r="H178" s="2">
        <f>_xlfn.XLOOKUP(G178, Direcții!B:B,Direcții!A:A, "NU GASIT",0)</f>
        <v>10</v>
      </c>
    </row>
    <row r="179" spans="1:8" ht="14.4" x14ac:dyDescent="0.3">
      <c r="A179" s="2">
        <v>519</v>
      </c>
      <c r="B179" s="2" t="s">
        <v>217</v>
      </c>
      <c r="C179" s="2" t="s">
        <v>331</v>
      </c>
      <c r="D179" s="2" t="s">
        <v>164</v>
      </c>
      <c r="E179" s="3">
        <v>31432</v>
      </c>
      <c r="F179" s="2" t="s">
        <v>408</v>
      </c>
      <c r="G179" s="2" t="s">
        <v>552</v>
      </c>
      <c r="H179" s="2">
        <f>_xlfn.XLOOKUP(G179, Direcții!B:B,Direcții!A:A, "NU GASIT",0)</f>
        <v>9</v>
      </c>
    </row>
    <row r="180" spans="1:8" ht="14.4" x14ac:dyDescent="0.3">
      <c r="A180" s="2">
        <v>520</v>
      </c>
      <c r="B180" s="2" t="s">
        <v>218</v>
      </c>
      <c r="C180" s="2" t="s">
        <v>331</v>
      </c>
      <c r="D180" s="2" t="s">
        <v>164</v>
      </c>
      <c r="E180" s="3">
        <v>22100</v>
      </c>
      <c r="F180" s="2" t="s">
        <v>408</v>
      </c>
      <c r="G180" s="2" t="s">
        <v>538</v>
      </c>
      <c r="H180" s="2">
        <f>_xlfn.XLOOKUP(G180, Direcții!B:B,Direcții!A:A, "NU GASIT",0)</f>
        <v>10</v>
      </c>
    </row>
    <row r="181" spans="1:8" ht="14.4" x14ac:dyDescent="0.3">
      <c r="A181" s="2">
        <v>521</v>
      </c>
      <c r="B181" s="2" t="s">
        <v>219</v>
      </c>
      <c r="C181" s="2" t="s">
        <v>331</v>
      </c>
      <c r="D181" s="2" t="s">
        <v>164</v>
      </c>
      <c r="E181" s="3">
        <v>1620</v>
      </c>
      <c r="F181" s="2" t="s">
        <v>408</v>
      </c>
      <c r="G181" s="2" t="s">
        <v>552</v>
      </c>
      <c r="H181" s="2">
        <f>_xlfn.XLOOKUP(G181, Direcții!B:B,Direcții!A:A, "NU GASIT",0)</f>
        <v>9</v>
      </c>
    </row>
    <row r="182" spans="1:8" ht="14.4" x14ac:dyDescent="0.3">
      <c r="A182" s="2">
        <v>522</v>
      </c>
      <c r="B182" s="2" t="s">
        <v>220</v>
      </c>
      <c r="C182" s="2" t="s">
        <v>331</v>
      </c>
      <c r="D182" s="2" t="s">
        <v>164</v>
      </c>
      <c r="E182" s="3">
        <v>982</v>
      </c>
      <c r="F182" s="2" t="s">
        <v>408</v>
      </c>
      <c r="G182" s="2" t="s">
        <v>552</v>
      </c>
      <c r="H182" s="2">
        <f>_xlfn.XLOOKUP(G182, Direcții!B:B,Direcții!A:A, "NU GASIT",0)</f>
        <v>9</v>
      </c>
    </row>
    <row r="183" spans="1:8" ht="14.4" x14ac:dyDescent="0.3">
      <c r="A183" s="2">
        <v>523</v>
      </c>
      <c r="B183" s="2" t="s">
        <v>221</v>
      </c>
      <c r="C183" s="2" t="s">
        <v>331</v>
      </c>
      <c r="D183" s="2" t="s">
        <v>164</v>
      </c>
      <c r="E183" s="3">
        <v>788</v>
      </c>
      <c r="F183" s="2" t="s">
        <v>408</v>
      </c>
      <c r="G183" s="2" t="s">
        <v>552</v>
      </c>
      <c r="H183" s="2">
        <f>_xlfn.XLOOKUP(G183, Direcții!B:B,Direcții!A:A, "NU GASIT",0)</f>
        <v>9</v>
      </c>
    </row>
    <row r="184" spans="1:8" ht="14.4" x14ac:dyDescent="0.3">
      <c r="A184" s="2">
        <v>524</v>
      </c>
      <c r="B184" s="2" t="s">
        <v>222</v>
      </c>
      <c r="C184" s="2" t="s">
        <v>331</v>
      </c>
      <c r="D184" s="2" t="s">
        <v>164</v>
      </c>
      <c r="E184" s="3">
        <v>526</v>
      </c>
      <c r="F184" s="2" t="s">
        <v>408</v>
      </c>
      <c r="G184" s="2" t="s">
        <v>552</v>
      </c>
      <c r="H184" s="2">
        <f>_xlfn.XLOOKUP(G184, Direcții!B:B,Direcții!A:A, "NU GASIT",0)</f>
        <v>9</v>
      </c>
    </row>
    <row r="185" spans="1:8" ht="14.4" x14ac:dyDescent="0.3">
      <c r="A185" s="2">
        <v>525</v>
      </c>
      <c r="B185" s="2" t="s">
        <v>223</v>
      </c>
      <c r="C185" s="2" t="s">
        <v>331</v>
      </c>
      <c r="D185" s="2" t="s">
        <v>164</v>
      </c>
      <c r="E185" s="3">
        <v>2546</v>
      </c>
      <c r="F185" s="2" t="s">
        <v>408</v>
      </c>
      <c r="G185" s="2" t="s">
        <v>552</v>
      </c>
      <c r="H185" s="2">
        <f>_xlfn.XLOOKUP(G185, Direcții!B:B,Direcții!A:A, "NU GASIT",0)</f>
        <v>9</v>
      </c>
    </row>
    <row r="186" spans="1:8" ht="14.4" x14ac:dyDescent="0.3">
      <c r="A186" s="2">
        <v>526</v>
      </c>
      <c r="B186" s="2" t="s">
        <v>224</v>
      </c>
      <c r="C186" s="2" t="s">
        <v>331</v>
      </c>
      <c r="D186" s="2" t="s">
        <v>164</v>
      </c>
      <c r="E186" s="3">
        <v>1329</v>
      </c>
      <c r="F186" s="2" t="s">
        <v>408</v>
      </c>
      <c r="G186" s="2" t="s">
        <v>552</v>
      </c>
      <c r="H186" s="2">
        <f>_xlfn.XLOOKUP(G186, Direcții!B:B,Direcții!A:A, "NU GASIT",0)</f>
        <v>9</v>
      </c>
    </row>
    <row r="187" spans="1:8" ht="14.4" x14ac:dyDescent="0.3">
      <c r="A187" s="2">
        <v>527</v>
      </c>
      <c r="B187" s="2" t="s">
        <v>225</v>
      </c>
      <c r="C187" s="2" t="s">
        <v>331</v>
      </c>
      <c r="D187" s="2" t="s">
        <v>164</v>
      </c>
      <c r="E187" s="3">
        <v>2180</v>
      </c>
      <c r="F187" s="2" t="s">
        <v>408</v>
      </c>
      <c r="G187" s="2" t="s">
        <v>552</v>
      </c>
      <c r="H187" s="2">
        <f>_xlfn.XLOOKUP(G187, Direcții!B:B,Direcții!A:A, "NU GASIT",0)</f>
        <v>9</v>
      </c>
    </row>
    <row r="188" spans="1:8" ht="14.4" x14ac:dyDescent="0.3">
      <c r="A188" s="2">
        <v>528</v>
      </c>
      <c r="B188" s="2" t="s">
        <v>226</v>
      </c>
      <c r="C188" s="2" t="s">
        <v>331</v>
      </c>
      <c r="D188" s="2" t="s">
        <v>164</v>
      </c>
      <c r="E188" s="3">
        <v>1845</v>
      </c>
      <c r="F188" s="2" t="s">
        <v>408</v>
      </c>
      <c r="G188" s="2" t="s">
        <v>552</v>
      </c>
      <c r="H188" s="2">
        <f>_xlfn.XLOOKUP(G188, Direcții!B:B,Direcții!A:A, "NU GASIT",0)</f>
        <v>9</v>
      </c>
    </row>
    <row r="189" spans="1:8" ht="14.4" x14ac:dyDescent="0.3">
      <c r="A189" s="2">
        <v>529</v>
      </c>
      <c r="B189" s="2" t="s">
        <v>227</v>
      </c>
      <c r="C189" s="2" t="s">
        <v>331</v>
      </c>
      <c r="D189" s="2" t="s">
        <v>164</v>
      </c>
      <c r="E189" s="3">
        <v>1178</v>
      </c>
      <c r="F189" s="2" t="s">
        <v>408</v>
      </c>
      <c r="G189" s="2" t="s">
        <v>552</v>
      </c>
      <c r="H189" s="2">
        <f>_xlfn.XLOOKUP(G189, Direcții!B:B,Direcții!A:A, "NU GASIT",0)</f>
        <v>9</v>
      </c>
    </row>
    <row r="190" spans="1:8" ht="14.4" x14ac:dyDescent="0.3">
      <c r="A190" s="2">
        <v>530</v>
      </c>
      <c r="B190" s="2" t="s">
        <v>228</v>
      </c>
      <c r="C190" s="2" t="s">
        <v>331</v>
      </c>
      <c r="D190" s="2" t="s">
        <v>164</v>
      </c>
      <c r="E190" s="3">
        <v>1449</v>
      </c>
      <c r="F190" s="2" t="s">
        <v>408</v>
      </c>
      <c r="G190" s="2" t="s">
        <v>552</v>
      </c>
      <c r="H190" s="2">
        <f>_xlfn.XLOOKUP(G190, Direcții!B:B,Direcții!A:A, "NU GASIT",0)</f>
        <v>9</v>
      </c>
    </row>
    <row r="191" spans="1:8" ht="14.4" x14ac:dyDescent="0.3">
      <c r="A191" s="2">
        <v>531</v>
      </c>
      <c r="B191" s="2" t="s">
        <v>229</v>
      </c>
      <c r="C191" s="2" t="s">
        <v>331</v>
      </c>
      <c r="D191" s="2" t="s">
        <v>164</v>
      </c>
      <c r="E191" s="3">
        <v>360</v>
      </c>
      <c r="F191" s="2" t="s">
        <v>408</v>
      </c>
      <c r="G191" s="2" t="s">
        <v>552</v>
      </c>
      <c r="H191" s="2">
        <f>_xlfn.XLOOKUP(G191, Direcții!B:B,Direcții!A:A, "NU GASIT",0)</f>
        <v>9</v>
      </c>
    </row>
    <row r="192" spans="1:8" ht="14.4" x14ac:dyDescent="0.3">
      <c r="A192" s="2">
        <v>532</v>
      </c>
      <c r="B192" s="2" t="s">
        <v>230</v>
      </c>
      <c r="C192" s="2" t="s">
        <v>331</v>
      </c>
      <c r="D192" s="2" t="s">
        <v>164</v>
      </c>
      <c r="E192" s="3">
        <v>5234</v>
      </c>
      <c r="F192" s="2" t="s">
        <v>408</v>
      </c>
      <c r="G192" s="2" t="s">
        <v>552</v>
      </c>
      <c r="H192" s="2">
        <f>_xlfn.XLOOKUP(G192, Direcții!B:B,Direcții!A:A, "NU GASIT",0)</f>
        <v>9</v>
      </c>
    </row>
    <row r="193" spans="1:8" ht="14.4" x14ac:dyDescent="0.3">
      <c r="A193" s="2">
        <v>533</v>
      </c>
      <c r="B193" s="2" t="s">
        <v>231</v>
      </c>
      <c r="C193" s="2" t="s">
        <v>331</v>
      </c>
      <c r="D193" s="2" t="s">
        <v>164</v>
      </c>
      <c r="E193" s="3">
        <v>630</v>
      </c>
      <c r="F193" s="2" t="s">
        <v>408</v>
      </c>
      <c r="G193" s="2" t="s">
        <v>552</v>
      </c>
      <c r="H193" s="2">
        <f>_xlfn.XLOOKUP(G193, Direcții!B:B,Direcții!A:A, "NU GASIT",0)</f>
        <v>9</v>
      </c>
    </row>
    <row r="194" spans="1:8" ht="14.4" x14ac:dyDescent="0.3">
      <c r="A194" s="2">
        <v>534</v>
      </c>
      <c r="B194" s="2" t="s">
        <v>232</v>
      </c>
      <c r="C194" s="2" t="s">
        <v>331</v>
      </c>
      <c r="D194" s="2" t="s">
        <v>164</v>
      </c>
      <c r="E194" s="3">
        <v>3480</v>
      </c>
      <c r="F194" s="2" t="s">
        <v>408</v>
      </c>
      <c r="G194" s="2" t="s">
        <v>552</v>
      </c>
      <c r="H194" s="2">
        <f>_xlfn.XLOOKUP(G194, Direcții!B:B,Direcții!A:A, "NU GASIT",0)</f>
        <v>9</v>
      </c>
    </row>
    <row r="195" spans="1:8" ht="14.4" x14ac:dyDescent="0.3">
      <c r="A195" s="2">
        <v>535</v>
      </c>
      <c r="B195" s="2" t="s">
        <v>233</v>
      </c>
      <c r="C195" s="2" t="s">
        <v>331</v>
      </c>
      <c r="D195" s="2" t="s">
        <v>164</v>
      </c>
      <c r="E195" s="3">
        <v>4226</v>
      </c>
      <c r="F195" s="2" t="s">
        <v>408</v>
      </c>
      <c r="G195" s="2" t="s">
        <v>552</v>
      </c>
      <c r="H195" s="2">
        <f>_xlfn.XLOOKUP(G195, Direcții!B:B,Direcții!A:A, "NU GASIT",0)</f>
        <v>9</v>
      </c>
    </row>
    <row r="196" spans="1:8" ht="14.4" x14ac:dyDescent="0.3">
      <c r="A196" s="2">
        <v>536</v>
      </c>
      <c r="B196" s="2" t="s">
        <v>234</v>
      </c>
      <c r="C196" s="2" t="s">
        <v>331</v>
      </c>
      <c r="D196" s="2" t="s">
        <v>164</v>
      </c>
      <c r="E196" s="3">
        <v>250</v>
      </c>
      <c r="F196" s="2" t="s">
        <v>408</v>
      </c>
      <c r="G196" s="2" t="s">
        <v>552</v>
      </c>
      <c r="H196" s="2">
        <f>_xlfn.XLOOKUP(G196, Direcții!B:B,Direcții!A:A, "NU GASIT",0)</f>
        <v>9</v>
      </c>
    </row>
    <row r="197" spans="1:8" ht="14.4" x14ac:dyDescent="0.3">
      <c r="A197" s="2">
        <v>537</v>
      </c>
      <c r="B197" s="2" t="s">
        <v>235</v>
      </c>
      <c r="C197" s="2" t="s">
        <v>331</v>
      </c>
      <c r="D197" s="2" t="s">
        <v>164</v>
      </c>
      <c r="E197" s="3">
        <v>1734</v>
      </c>
      <c r="F197" s="2" t="s">
        <v>408</v>
      </c>
      <c r="G197" s="2" t="s">
        <v>552</v>
      </c>
      <c r="H197" s="2">
        <f>_xlfn.XLOOKUP(G197, Direcții!B:B,Direcții!A:A, "NU GASIT",0)</f>
        <v>9</v>
      </c>
    </row>
    <row r="198" spans="1:8" ht="14.4" x14ac:dyDescent="0.3">
      <c r="A198" s="2">
        <v>538</v>
      </c>
      <c r="B198" s="2" t="s">
        <v>236</v>
      </c>
      <c r="C198" s="2" t="s">
        <v>331</v>
      </c>
      <c r="D198" s="2" t="s">
        <v>164</v>
      </c>
      <c r="E198" s="3">
        <v>378</v>
      </c>
      <c r="F198" s="2" t="s">
        <v>408</v>
      </c>
      <c r="G198" s="2" t="s">
        <v>552</v>
      </c>
      <c r="H198" s="2">
        <f>_xlfn.XLOOKUP(G198, Direcții!B:B,Direcții!A:A, "NU GASIT",0)</f>
        <v>9</v>
      </c>
    </row>
    <row r="199" spans="1:8" ht="14.4" x14ac:dyDescent="0.3">
      <c r="A199" s="2">
        <v>539</v>
      </c>
      <c r="B199" s="2" t="s">
        <v>237</v>
      </c>
      <c r="C199" s="2" t="s">
        <v>331</v>
      </c>
      <c r="D199" s="2" t="s">
        <v>164</v>
      </c>
      <c r="E199" s="3">
        <v>16200</v>
      </c>
      <c r="F199" s="2" t="s">
        <v>408</v>
      </c>
      <c r="G199" s="2" t="s">
        <v>552</v>
      </c>
      <c r="H199" s="2">
        <f>_xlfn.XLOOKUP(G199, Direcții!B:B,Direcții!A:A, "NU GASIT",0)</f>
        <v>9</v>
      </c>
    </row>
    <row r="200" spans="1:8" ht="14.4" x14ac:dyDescent="0.3">
      <c r="A200" s="2">
        <v>540</v>
      </c>
      <c r="B200" s="2" t="s">
        <v>238</v>
      </c>
      <c r="C200" s="2" t="s">
        <v>331</v>
      </c>
      <c r="D200" s="2" t="s">
        <v>164</v>
      </c>
      <c r="E200" s="3">
        <v>219</v>
      </c>
      <c r="F200" s="2" t="s">
        <v>408</v>
      </c>
      <c r="G200" s="2" t="s">
        <v>552</v>
      </c>
      <c r="H200" s="2">
        <f>_xlfn.XLOOKUP(G200, Direcții!B:B,Direcții!A:A, "NU GASIT",0)</f>
        <v>9</v>
      </c>
    </row>
    <row r="201" spans="1:8" ht="14.4" x14ac:dyDescent="0.3">
      <c r="A201" s="2">
        <v>541</v>
      </c>
      <c r="B201" s="2" t="s">
        <v>239</v>
      </c>
      <c r="C201" s="2" t="s">
        <v>331</v>
      </c>
      <c r="D201" s="2" t="s">
        <v>164</v>
      </c>
      <c r="E201" s="3">
        <v>1128</v>
      </c>
      <c r="F201" s="2" t="s">
        <v>408</v>
      </c>
      <c r="G201" s="2" t="s">
        <v>552</v>
      </c>
      <c r="H201" s="2">
        <f>_xlfn.XLOOKUP(G201, Direcții!B:B,Direcții!A:A, "NU GASIT",0)</f>
        <v>9</v>
      </c>
    </row>
    <row r="202" spans="1:8" ht="14.4" x14ac:dyDescent="0.3">
      <c r="A202" s="2">
        <v>542</v>
      </c>
      <c r="B202" s="2" t="s">
        <v>240</v>
      </c>
      <c r="C202" s="2" t="s">
        <v>331</v>
      </c>
      <c r="D202" s="2" t="s">
        <v>164</v>
      </c>
      <c r="E202" s="3">
        <v>7000</v>
      </c>
      <c r="F202" s="2" t="s">
        <v>408</v>
      </c>
      <c r="G202" s="2" t="s">
        <v>538</v>
      </c>
      <c r="H202" s="2">
        <f>_xlfn.XLOOKUP(G202, Direcții!B:B,Direcții!A:A, "NU GASIT",0)</f>
        <v>10</v>
      </c>
    </row>
    <row r="203" spans="1:8" ht="14.4" x14ac:dyDescent="0.3">
      <c r="A203" s="2">
        <v>543</v>
      </c>
      <c r="B203" s="2" t="s">
        <v>241</v>
      </c>
      <c r="C203" s="2" t="s">
        <v>331</v>
      </c>
      <c r="D203" s="2" t="s">
        <v>164</v>
      </c>
      <c r="E203" s="3">
        <v>2003.52</v>
      </c>
      <c r="F203" s="2" t="s">
        <v>408</v>
      </c>
      <c r="G203" s="2" t="s">
        <v>552</v>
      </c>
      <c r="H203" s="2">
        <f>_xlfn.XLOOKUP(G203, Direcții!B:B,Direcții!A:A, "NU GASIT",0)</f>
        <v>9</v>
      </c>
    </row>
    <row r="204" spans="1:8" ht="14.4" x14ac:dyDescent="0.3">
      <c r="A204" s="2">
        <v>544</v>
      </c>
      <c r="B204" s="2" t="s">
        <v>242</v>
      </c>
      <c r="C204" s="2" t="s">
        <v>331</v>
      </c>
      <c r="D204" s="2" t="s">
        <v>164</v>
      </c>
      <c r="E204" s="3">
        <v>1180</v>
      </c>
      <c r="F204" s="2" t="s">
        <v>408</v>
      </c>
      <c r="G204" s="2" t="s">
        <v>552</v>
      </c>
      <c r="H204" s="2">
        <f>_xlfn.XLOOKUP(G204, Direcții!B:B,Direcții!A:A, "NU GASIT",0)</f>
        <v>9</v>
      </c>
    </row>
    <row r="205" spans="1:8" ht="14.4" x14ac:dyDescent="0.3">
      <c r="A205" s="2">
        <v>545</v>
      </c>
      <c r="B205" s="2" t="s">
        <v>243</v>
      </c>
      <c r="C205" s="2" t="s">
        <v>331</v>
      </c>
      <c r="D205" s="2" t="s">
        <v>164</v>
      </c>
      <c r="E205" s="3">
        <v>404.96</v>
      </c>
      <c r="F205" s="2" t="s">
        <v>408</v>
      </c>
      <c r="G205" s="2" t="s">
        <v>538</v>
      </c>
      <c r="H205" s="2">
        <f>_xlfn.XLOOKUP(G205, Direcții!B:B,Direcții!A:A, "NU GASIT",0)</f>
        <v>10</v>
      </c>
    </row>
    <row r="206" spans="1:8" ht="14.4" x14ac:dyDescent="0.3">
      <c r="A206" s="2">
        <v>546</v>
      </c>
      <c r="B206" s="2" t="s">
        <v>244</v>
      </c>
      <c r="C206" s="2" t="s">
        <v>331</v>
      </c>
      <c r="D206" s="2" t="s">
        <v>164</v>
      </c>
      <c r="E206" s="3">
        <v>106005.02</v>
      </c>
      <c r="F206" s="2" t="s">
        <v>408</v>
      </c>
      <c r="G206" s="2" t="s">
        <v>538</v>
      </c>
      <c r="H206" s="2">
        <f>_xlfn.XLOOKUP(G206, Direcții!B:B,Direcții!A:A, "NU GASIT",0)</f>
        <v>10</v>
      </c>
    </row>
    <row r="207" spans="1:8" ht="14.4" x14ac:dyDescent="0.3">
      <c r="A207" s="2">
        <v>547</v>
      </c>
      <c r="B207" s="2" t="s">
        <v>245</v>
      </c>
      <c r="C207" s="2" t="s">
        <v>331</v>
      </c>
      <c r="D207" s="2" t="s">
        <v>164</v>
      </c>
      <c r="E207" s="3">
        <v>13994.8</v>
      </c>
      <c r="F207" s="2" t="s">
        <v>408</v>
      </c>
      <c r="G207" s="2" t="s">
        <v>538</v>
      </c>
      <c r="H207" s="2">
        <f>_xlfn.XLOOKUP(G207, Direcții!B:B,Direcții!A:A, "NU GASIT",0)</f>
        <v>10</v>
      </c>
    </row>
    <row r="208" spans="1:8" ht="14.4" x14ac:dyDescent="0.3">
      <c r="A208" s="2">
        <v>548</v>
      </c>
      <c r="B208" s="2" t="s">
        <v>246</v>
      </c>
      <c r="C208" s="2" t="s">
        <v>333</v>
      </c>
      <c r="D208" s="2" t="s">
        <v>42</v>
      </c>
      <c r="E208" s="3">
        <v>25000</v>
      </c>
      <c r="F208" s="2" t="s">
        <v>408</v>
      </c>
      <c r="G208" s="2" t="s">
        <v>538</v>
      </c>
      <c r="H208" s="2">
        <f>_xlfn.XLOOKUP(G208, Direcții!B:B,Direcții!A:A, "NU GASIT",0)</f>
        <v>10</v>
      </c>
    </row>
    <row r="209" spans="1:8" ht="14.4" x14ac:dyDescent="0.3">
      <c r="A209" s="2">
        <v>549</v>
      </c>
      <c r="B209" s="2" t="s">
        <v>247</v>
      </c>
      <c r="C209" s="2" t="s">
        <v>333</v>
      </c>
      <c r="D209" s="2" t="s">
        <v>42</v>
      </c>
      <c r="E209" s="3">
        <v>200000</v>
      </c>
      <c r="F209" s="2" t="s">
        <v>408</v>
      </c>
      <c r="G209" s="2" t="s">
        <v>538</v>
      </c>
      <c r="H209" s="2">
        <f>_xlfn.XLOOKUP(G209, Direcții!B:B,Direcții!A:A, "NU GASIT",0)</f>
        <v>10</v>
      </c>
    </row>
    <row r="210" spans="1:8" ht="14.4" x14ac:dyDescent="0.3">
      <c r="A210" s="2">
        <v>550</v>
      </c>
      <c r="B210" s="2" t="s">
        <v>248</v>
      </c>
      <c r="C210" s="2" t="s">
        <v>333</v>
      </c>
      <c r="D210" s="2" t="s">
        <v>42</v>
      </c>
      <c r="E210" s="3">
        <v>46000</v>
      </c>
      <c r="F210" s="2" t="s">
        <v>408</v>
      </c>
      <c r="G210" s="2" t="s">
        <v>538</v>
      </c>
      <c r="H210" s="2">
        <f>_xlfn.XLOOKUP(G210, Direcții!B:B,Direcții!A:A, "NU GASIT",0)</f>
        <v>10</v>
      </c>
    </row>
    <row r="211" spans="1:8" ht="14.4" x14ac:dyDescent="0.3">
      <c r="A211" s="2">
        <v>551</v>
      </c>
      <c r="B211" s="2" t="s">
        <v>249</v>
      </c>
      <c r="C211" s="2" t="s">
        <v>333</v>
      </c>
      <c r="D211" s="2" t="s">
        <v>42</v>
      </c>
      <c r="E211" s="3">
        <v>24000</v>
      </c>
      <c r="F211" s="2" t="s">
        <v>408</v>
      </c>
      <c r="G211" s="2" t="s">
        <v>538</v>
      </c>
      <c r="H211" s="2">
        <f>_xlfn.XLOOKUP(G211, Direcții!B:B,Direcții!A:A, "NU GASIT",0)</f>
        <v>10</v>
      </c>
    </row>
    <row r="212" spans="1:8" ht="14.4" x14ac:dyDescent="0.3">
      <c r="A212" s="2">
        <v>552</v>
      </c>
      <c r="B212" s="2" t="s">
        <v>22</v>
      </c>
      <c r="C212" s="2" t="s">
        <v>333</v>
      </c>
      <c r="D212" s="2" t="s">
        <v>42</v>
      </c>
      <c r="E212" s="3">
        <v>40000</v>
      </c>
      <c r="F212" s="2" t="s">
        <v>408</v>
      </c>
      <c r="G212" s="2" t="s">
        <v>538</v>
      </c>
      <c r="H212" s="2">
        <f>_xlfn.XLOOKUP(G212, Direcții!B:B,Direcții!A:A, "NU GASIT",0)</f>
        <v>10</v>
      </c>
    </row>
    <row r="213" spans="1:8" ht="14.4" x14ac:dyDescent="0.3">
      <c r="A213" s="2">
        <v>553</v>
      </c>
      <c r="B213" s="2" t="s">
        <v>250</v>
      </c>
      <c r="C213" s="2" t="s">
        <v>333</v>
      </c>
      <c r="D213" s="2" t="s">
        <v>42</v>
      </c>
      <c r="E213" s="3">
        <v>76000</v>
      </c>
      <c r="F213" s="2" t="s">
        <v>408</v>
      </c>
      <c r="G213" s="2" t="s">
        <v>538</v>
      </c>
      <c r="H213" s="2">
        <f>_xlfn.XLOOKUP(G213, Direcții!B:B,Direcții!A:A, "NU GASIT",0)</f>
        <v>10</v>
      </c>
    </row>
    <row r="214" spans="1:8" ht="14.4" x14ac:dyDescent="0.3">
      <c r="A214" s="2">
        <v>554</v>
      </c>
      <c r="B214" s="2" t="s">
        <v>251</v>
      </c>
      <c r="C214" s="2" t="s">
        <v>333</v>
      </c>
      <c r="D214" s="2" t="s">
        <v>42</v>
      </c>
      <c r="E214" s="3">
        <v>48060</v>
      </c>
      <c r="F214" s="2" t="s">
        <v>408</v>
      </c>
      <c r="G214" s="2" t="s">
        <v>554</v>
      </c>
      <c r="H214" s="2">
        <f>_xlfn.XLOOKUP(G214, Direcții!B:B,Direcții!A:A, "NU GASIT",0)</f>
        <v>22</v>
      </c>
    </row>
    <row r="215" spans="1:8" ht="14.4" x14ac:dyDescent="0.3">
      <c r="A215" s="2">
        <v>555</v>
      </c>
      <c r="B215" s="2" t="s">
        <v>252</v>
      </c>
      <c r="C215" s="2" t="s">
        <v>333</v>
      </c>
      <c r="D215" s="2" t="s">
        <v>42</v>
      </c>
      <c r="E215" s="3">
        <v>15208.87</v>
      </c>
      <c r="F215" s="2" t="s">
        <v>408</v>
      </c>
      <c r="G215" s="2" t="s">
        <v>554</v>
      </c>
      <c r="H215" s="2">
        <f>_xlfn.XLOOKUP(G215, Direcții!B:B,Direcții!A:A, "NU GASIT",0)</f>
        <v>22</v>
      </c>
    </row>
    <row r="216" spans="1:8" ht="14.4" x14ac:dyDescent="0.3">
      <c r="A216" s="2">
        <v>556</v>
      </c>
      <c r="B216" s="2" t="s">
        <v>253</v>
      </c>
      <c r="C216" s="2" t="s">
        <v>333</v>
      </c>
      <c r="D216" s="2" t="s">
        <v>42</v>
      </c>
      <c r="E216" s="3">
        <v>31712</v>
      </c>
      <c r="F216" s="2" t="s">
        <v>408</v>
      </c>
      <c r="G216" s="2" t="s">
        <v>552</v>
      </c>
      <c r="H216" s="2">
        <f>_xlfn.XLOOKUP(G216, Direcții!B:B,Direcții!A:A, "NU GASIT",0)</f>
        <v>9</v>
      </c>
    </row>
    <row r="217" spans="1:8" ht="14.4" x14ac:dyDescent="0.3">
      <c r="A217" s="2">
        <v>557</v>
      </c>
      <c r="B217" s="2" t="s">
        <v>254</v>
      </c>
      <c r="C217" s="2" t="s">
        <v>333</v>
      </c>
      <c r="D217" s="2" t="s">
        <v>42</v>
      </c>
      <c r="E217" s="3">
        <v>25000</v>
      </c>
      <c r="F217" s="2" t="s">
        <v>408</v>
      </c>
      <c r="G217" s="2" t="s">
        <v>538</v>
      </c>
      <c r="H217" s="2">
        <f>_xlfn.XLOOKUP(G217, Direcții!B:B,Direcții!A:A, "NU GASIT",0)</f>
        <v>10</v>
      </c>
    </row>
    <row r="218" spans="1:8" ht="14.4" x14ac:dyDescent="0.3">
      <c r="A218" s="2">
        <v>558</v>
      </c>
      <c r="B218" s="2" t="s">
        <v>255</v>
      </c>
      <c r="C218" s="2" t="s">
        <v>333</v>
      </c>
      <c r="D218" s="2" t="s">
        <v>42</v>
      </c>
      <c r="E218" s="3">
        <v>75000</v>
      </c>
      <c r="F218" s="2" t="s">
        <v>408</v>
      </c>
      <c r="G218" s="2" t="s">
        <v>534</v>
      </c>
      <c r="H218" s="2">
        <f>_xlfn.XLOOKUP(G218, Direcții!B:B,Direcții!A:A, "NU GASIT",0)</f>
        <v>2</v>
      </c>
    </row>
    <row r="219" spans="1:8" ht="14.4" x14ac:dyDescent="0.3">
      <c r="A219" s="2">
        <v>559</v>
      </c>
      <c r="B219" s="2" t="s">
        <v>256</v>
      </c>
      <c r="C219" s="2" t="s">
        <v>333</v>
      </c>
      <c r="D219" s="2" t="s">
        <v>42</v>
      </c>
      <c r="E219" s="3">
        <v>15000</v>
      </c>
      <c r="F219" s="2" t="s">
        <v>408</v>
      </c>
      <c r="G219" s="2" t="s">
        <v>534</v>
      </c>
      <c r="H219" s="2">
        <f>_xlfn.XLOOKUP(G219, Direcții!B:B,Direcții!A:A, "NU GASIT",0)</f>
        <v>2</v>
      </c>
    </row>
    <row r="220" spans="1:8" ht="14.4" x14ac:dyDescent="0.3">
      <c r="A220" s="2">
        <v>560</v>
      </c>
      <c r="B220" s="2" t="s">
        <v>257</v>
      </c>
      <c r="C220" s="2" t="s">
        <v>333</v>
      </c>
      <c r="D220" s="2" t="s">
        <v>42</v>
      </c>
      <c r="E220" s="3">
        <v>210.08</v>
      </c>
      <c r="F220" s="2" t="s">
        <v>408</v>
      </c>
      <c r="G220" s="2" t="s">
        <v>560</v>
      </c>
      <c r="H220" s="2">
        <f>_xlfn.XLOOKUP(G220, Direcții!B:B,Direcții!A:A, "NU GASIT",0)</f>
        <v>4</v>
      </c>
    </row>
    <row r="221" spans="1:8" ht="14.4" x14ac:dyDescent="0.3">
      <c r="A221" s="2">
        <v>561</v>
      </c>
      <c r="B221" s="2" t="s">
        <v>258</v>
      </c>
      <c r="C221" s="2" t="s">
        <v>333</v>
      </c>
      <c r="D221" s="2" t="s">
        <v>42</v>
      </c>
      <c r="E221" s="3">
        <v>7425</v>
      </c>
      <c r="F221" s="2" t="s">
        <v>408</v>
      </c>
      <c r="G221" s="2" t="s">
        <v>539</v>
      </c>
      <c r="H221" s="2">
        <f>_xlfn.XLOOKUP(G221, Direcții!B:B,Direcții!A:A, "NU GASIT",0)</f>
        <v>11</v>
      </c>
    </row>
    <row r="222" spans="1:8" ht="14.4" x14ac:dyDescent="0.3">
      <c r="A222" s="2">
        <v>562</v>
      </c>
      <c r="B222" s="2" t="s">
        <v>259</v>
      </c>
      <c r="C222" s="2" t="s">
        <v>333</v>
      </c>
      <c r="D222" s="2" t="s">
        <v>42</v>
      </c>
      <c r="E222" s="3">
        <v>102166</v>
      </c>
      <c r="F222" s="2" t="s">
        <v>409</v>
      </c>
      <c r="G222" s="2" t="s">
        <v>552</v>
      </c>
      <c r="H222" s="2">
        <f>_xlfn.XLOOKUP(G222, Direcții!B:B,Direcții!A:A, "NU GASIT",0)</f>
        <v>9</v>
      </c>
    </row>
    <row r="223" spans="1:8" ht="14.4" x14ac:dyDescent="0.3">
      <c r="A223" s="2">
        <v>563</v>
      </c>
      <c r="B223" s="2" t="s">
        <v>260</v>
      </c>
      <c r="C223" s="2" t="s">
        <v>333</v>
      </c>
      <c r="D223" s="2" t="s">
        <v>42</v>
      </c>
      <c r="E223" s="3">
        <v>45520</v>
      </c>
      <c r="F223" s="2" t="s">
        <v>408</v>
      </c>
      <c r="G223" s="2" t="s">
        <v>538</v>
      </c>
      <c r="H223" s="2">
        <f>_xlfn.XLOOKUP(G223, Direcții!B:B,Direcții!A:A, "NU GASIT",0)</f>
        <v>10</v>
      </c>
    </row>
    <row r="224" spans="1:8" ht="14.4" x14ac:dyDescent="0.3">
      <c r="A224" s="2">
        <v>564</v>
      </c>
      <c r="B224" s="2" t="s">
        <v>261</v>
      </c>
      <c r="C224" s="2" t="s">
        <v>333</v>
      </c>
      <c r="D224" s="2" t="s">
        <v>42</v>
      </c>
      <c r="E224" s="3">
        <v>5050</v>
      </c>
      <c r="F224" s="2" t="s">
        <v>408</v>
      </c>
      <c r="G224" s="2" t="s">
        <v>546</v>
      </c>
      <c r="H224" s="2">
        <f>_xlfn.XLOOKUP(G224, Direcții!B:B,Direcții!A:A, "NU GASIT",0)</f>
        <v>12</v>
      </c>
    </row>
    <row r="225" spans="1:8" ht="14.4" x14ac:dyDescent="0.3">
      <c r="A225" s="2">
        <v>565</v>
      </c>
      <c r="B225" s="2" t="s">
        <v>262</v>
      </c>
      <c r="C225" s="2" t="s">
        <v>333</v>
      </c>
      <c r="D225" s="2" t="s">
        <v>42</v>
      </c>
      <c r="E225" s="3">
        <v>101007</v>
      </c>
      <c r="F225" s="2" t="s">
        <v>409</v>
      </c>
      <c r="G225" s="2" t="s">
        <v>546</v>
      </c>
      <c r="H225" s="2">
        <f>_xlfn.XLOOKUP(G225, Direcții!B:B,Direcții!A:A, "NU GASIT",0)</f>
        <v>12</v>
      </c>
    </row>
    <row r="226" spans="1:8" ht="14.4" x14ac:dyDescent="0.3">
      <c r="A226" s="2">
        <v>566</v>
      </c>
      <c r="B226" s="2" t="s">
        <v>12</v>
      </c>
      <c r="C226" s="2" t="s">
        <v>333</v>
      </c>
      <c r="D226" s="2" t="s">
        <v>42</v>
      </c>
      <c r="E226" s="3">
        <v>20000</v>
      </c>
      <c r="F226" s="2" t="s">
        <v>408</v>
      </c>
      <c r="G226" s="2" t="s">
        <v>538</v>
      </c>
      <c r="H226" s="2">
        <f>_xlfn.XLOOKUP(G226, Direcții!B:B,Direcții!A:A, "NU GASIT",0)</f>
        <v>10</v>
      </c>
    </row>
    <row r="227" spans="1:8" ht="14.4" x14ac:dyDescent="0.3">
      <c r="A227" s="2">
        <v>567</v>
      </c>
      <c r="B227" s="2" t="s">
        <v>263</v>
      </c>
      <c r="C227" s="2" t="s">
        <v>333</v>
      </c>
      <c r="D227" s="2" t="s">
        <v>42</v>
      </c>
      <c r="E227" s="3">
        <v>25000</v>
      </c>
      <c r="F227" s="2" t="s">
        <v>408</v>
      </c>
      <c r="G227" s="2" t="s">
        <v>538</v>
      </c>
      <c r="H227" s="2">
        <f>_xlfn.XLOOKUP(G227, Direcții!B:B,Direcții!A:A, "NU GASIT",0)</f>
        <v>10</v>
      </c>
    </row>
    <row r="228" spans="1:8" ht="14.4" x14ac:dyDescent="0.3">
      <c r="A228" s="2">
        <v>568</v>
      </c>
      <c r="B228" s="2" t="s">
        <v>264</v>
      </c>
      <c r="C228" s="2" t="s">
        <v>333</v>
      </c>
      <c r="D228" s="2" t="s">
        <v>42</v>
      </c>
      <c r="E228" s="3">
        <v>1500</v>
      </c>
      <c r="F228" s="2" t="s">
        <v>408</v>
      </c>
      <c r="G228" s="2" t="s">
        <v>538</v>
      </c>
      <c r="H228" s="2">
        <f>_xlfn.XLOOKUP(G228, Direcții!B:B,Direcții!A:A, "NU GASIT",0)</f>
        <v>10</v>
      </c>
    </row>
    <row r="229" spans="1:8" ht="14.4" x14ac:dyDescent="0.3">
      <c r="A229" s="2">
        <v>569</v>
      </c>
      <c r="B229" s="2" t="s">
        <v>265</v>
      </c>
      <c r="C229" s="2" t="s">
        <v>333</v>
      </c>
      <c r="D229" s="2" t="s">
        <v>42</v>
      </c>
      <c r="E229" s="3">
        <v>10000</v>
      </c>
      <c r="F229" s="2" t="s">
        <v>408</v>
      </c>
      <c r="G229" s="2" t="s">
        <v>538</v>
      </c>
      <c r="H229" s="2">
        <f>_xlfn.XLOOKUP(G229, Direcții!B:B,Direcții!A:A, "NU GASIT",0)</f>
        <v>10</v>
      </c>
    </row>
    <row r="230" spans="1:8" ht="14.4" x14ac:dyDescent="0.3">
      <c r="A230" s="2">
        <v>570</v>
      </c>
      <c r="B230" s="2" t="s">
        <v>266</v>
      </c>
      <c r="C230" s="2" t="s">
        <v>333</v>
      </c>
      <c r="D230" s="2" t="s">
        <v>42</v>
      </c>
      <c r="E230" s="3">
        <v>180000</v>
      </c>
      <c r="F230" s="2" t="s">
        <v>408</v>
      </c>
      <c r="G230" s="2" t="s">
        <v>538</v>
      </c>
      <c r="H230" s="2">
        <f>_xlfn.XLOOKUP(G230, Direcții!B:B,Direcții!A:A, "NU GASIT",0)</f>
        <v>10</v>
      </c>
    </row>
    <row r="231" spans="1:8" ht="14.4" x14ac:dyDescent="0.3">
      <c r="A231" s="2">
        <v>571</v>
      </c>
      <c r="B231" s="2" t="s">
        <v>267</v>
      </c>
      <c r="C231" s="2" t="s">
        <v>333</v>
      </c>
      <c r="D231" s="2" t="s">
        <v>42</v>
      </c>
      <c r="E231" s="3">
        <v>58800</v>
      </c>
      <c r="F231" s="2" t="s">
        <v>408</v>
      </c>
      <c r="G231" s="2" t="s">
        <v>553</v>
      </c>
      <c r="H231" s="2">
        <f>_xlfn.XLOOKUP(G231, Direcții!B:B,Direcții!A:A, "NU GASIT",0)</f>
        <v>15</v>
      </c>
    </row>
    <row r="232" spans="1:8" ht="14.4" x14ac:dyDescent="0.3">
      <c r="A232" s="2">
        <v>572</v>
      </c>
      <c r="B232" s="2" t="s">
        <v>268</v>
      </c>
      <c r="C232" s="2" t="s">
        <v>333</v>
      </c>
      <c r="D232" s="2" t="s">
        <v>42</v>
      </c>
      <c r="E232" s="3">
        <v>214200</v>
      </c>
      <c r="F232" s="2" t="s">
        <v>408</v>
      </c>
      <c r="G232" s="2" t="s">
        <v>560</v>
      </c>
      <c r="H232" s="2">
        <f>_xlfn.XLOOKUP(G232, Direcții!B:B,Direcții!A:A, "NU GASIT",0)</f>
        <v>4</v>
      </c>
    </row>
    <row r="233" spans="1:8" ht="14.4" x14ac:dyDescent="0.3">
      <c r="A233" s="2">
        <v>573</v>
      </c>
      <c r="B233" s="2" t="s">
        <v>269</v>
      </c>
      <c r="C233" s="2" t="s">
        <v>333</v>
      </c>
      <c r="D233" s="2" t="s">
        <v>42</v>
      </c>
      <c r="E233" s="3">
        <v>130000</v>
      </c>
      <c r="F233" s="2" t="s">
        <v>408</v>
      </c>
      <c r="G233" s="2" t="s">
        <v>552</v>
      </c>
      <c r="H233" s="2">
        <f>_xlfn.XLOOKUP(G233, Direcții!B:B,Direcții!A:A, "NU GASIT",0)</f>
        <v>9</v>
      </c>
    </row>
    <row r="234" spans="1:8" ht="14.4" x14ac:dyDescent="0.3">
      <c r="A234" s="2">
        <v>574</v>
      </c>
      <c r="B234" s="2" t="s">
        <v>270</v>
      </c>
      <c r="C234" s="2" t="s">
        <v>333</v>
      </c>
      <c r="D234" s="2" t="s">
        <v>42</v>
      </c>
      <c r="E234" s="3">
        <v>50000</v>
      </c>
      <c r="F234" s="2" t="s">
        <v>408</v>
      </c>
      <c r="G234" s="2" t="s">
        <v>554</v>
      </c>
      <c r="H234" s="2">
        <f>_xlfn.XLOOKUP(G234, Direcții!B:B,Direcții!A:A, "NU GASIT",0)</f>
        <v>22</v>
      </c>
    </row>
    <row r="235" spans="1:8" ht="14.4" x14ac:dyDescent="0.3">
      <c r="A235" s="2">
        <v>575</v>
      </c>
      <c r="B235" s="2" t="s">
        <v>271</v>
      </c>
      <c r="C235" s="2" t="s">
        <v>333</v>
      </c>
      <c r="D235" s="2" t="s">
        <v>42</v>
      </c>
      <c r="E235" s="3">
        <v>170867</v>
      </c>
      <c r="F235" s="2" t="s">
        <v>408</v>
      </c>
      <c r="G235" s="2" t="s">
        <v>554</v>
      </c>
      <c r="H235" s="2">
        <f>_xlfn.XLOOKUP(G235, Direcții!B:B,Direcții!A:A, "NU GASIT",0)</f>
        <v>22</v>
      </c>
    </row>
    <row r="236" spans="1:8" ht="14.4" x14ac:dyDescent="0.3">
      <c r="A236" s="2">
        <v>576</v>
      </c>
      <c r="B236" s="2" t="s">
        <v>272</v>
      </c>
      <c r="C236" s="2" t="s">
        <v>333</v>
      </c>
      <c r="D236" s="2" t="s">
        <v>42</v>
      </c>
      <c r="E236" s="3">
        <v>12000</v>
      </c>
      <c r="F236" s="2" t="s">
        <v>408</v>
      </c>
      <c r="G236" s="2" t="s">
        <v>543</v>
      </c>
      <c r="H236" s="2">
        <f>_xlfn.XLOOKUP(G236, Direcții!B:B,Direcții!A:A, "NU GASIT",0)</f>
        <v>19</v>
      </c>
    </row>
    <row r="237" spans="1:8" ht="14.4" x14ac:dyDescent="0.3">
      <c r="A237" s="2">
        <v>577</v>
      </c>
      <c r="B237" s="2" t="s">
        <v>273</v>
      </c>
      <c r="C237" s="2" t="s">
        <v>333</v>
      </c>
      <c r="D237" s="2" t="s">
        <v>42</v>
      </c>
      <c r="E237" s="3">
        <v>28000</v>
      </c>
      <c r="F237" s="2" t="s">
        <v>408</v>
      </c>
      <c r="G237" s="2" t="s">
        <v>543</v>
      </c>
      <c r="H237" s="2">
        <f>_xlfn.XLOOKUP(G237, Direcții!B:B,Direcții!A:A, "NU GASIT",0)</f>
        <v>19</v>
      </c>
    </row>
    <row r="238" spans="1:8" ht="14.4" x14ac:dyDescent="0.3">
      <c r="A238" s="2">
        <v>578</v>
      </c>
      <c r="B238" s="2" t="s">
        <v>274</v>
      </c>
      <c r="C238" s="2" t="s">
        <v>333</v>
      </c>
      <c r="D238" s="2" t="s">
        <v>42</v>
      </c>
      <c r="E238" s="3">
        <v>28000</v>
      </c>
      <c r="F238" s="2" t="s">
        <v>408</v>
      </c>
      <c r="G238" s="2" t="s">
        <v>543</v>
      </c>
      <c r="H238" s="2">
        <f>_xlfn.XLOOKUP(G238, Direcții!B:B,Direcții!A:A, "NU GASIT",0)</f>
        <v>19</v>
      </c>
    </row>
    <row r="239" spans="1:8" ht="14.4" x14ac:dyDescent="0.3">
      <c r="A239" s="2">
        <v>579</v>
      </c>
      <c r="B239" s="2" t="s">
        <v>275</v>
      </c>
      <c r="C239" s="2" t="s">
        <v>333</v>
      </c>
      <c r="D239" s="2" t="s">
        <v>42</v>
      </c>
      <c r="E239" s="3">
        <v>28000</v>
      </c>
      <c r="F239" s="2" t="s">
        <v>408</v>
      </c>
      <c r="G239" s="2" t="s">
        <v>543</v>
      </c>
      <c r="H239" s="2">
        <f>_xlfn.XLOOKUP(G239, Direcții!B:B,Direcții!A:A, "NU GASIT",0)</f>
        <v>19</v>
      </c>
    </row>
    <row r="240" spans="1:8" ht="14.4" x14ac:dyDescent="0.3">
      <c r="A240" s="2">
        <v>580</v>
      </c>
      <c r="B240" s="2" t="s">
        <v>276</v>
      </c>
      <c r="C240" s="2" t="s">
        <v>333</v>
      </c>
      <c r="D240" s="2" t="s">
        <v>42</v>
      </c>
      <c r="E240" s="3">
        <v>28000</v>
      </c>
      <c r="F240" s="2" t="s">
        <v>408</v>
      </c>
      <c r="G240" s="2" t="s">
        <v>543</v>
      </c>
      <c r="H240" s="2">
        <f>_xlfn.XLOOKUP(G240, Direcții!B:B,Direcții!A:A, "NU GASIT",0)</f>
        <v>19</v>
      </c>
    </row>
    <row r="241" spans="1:8" ht="14.4" x14ac:dyDescent="0.3">
      <c r="A241" s="2">
        <v>581</v>
      </c>
      <c r="B241" s="2" t="s">
        <v>277</v>
      </c>
      <c r="C241" s="2" t="s">
        <v>333</v>
      </c>
      <c r="D241" s="2" t="s">
        <v>42</v>
      </c>
      <c r="E241" s="3">
        <v>100</v>
      </c>
      <c r="F241" s="2" t="s">
        <v>408</v>
      </c>
      <c r="G241" s="2" t="s">
        <v>541</v>
      </c>
      <c r="H241" s="2">
        <f>_xlfn.XLOOKUP(G241, Direcții!B:B,Direcții!A:A, "NU GASIT",0)</f>
        <v>14</v>
      </c>
    </row>
    <row r="242" spans="1:8" ht="14.4" x14ac:dyDescent="0.3">
      <c r="A242" s="2">
        <v>582</v>
      </c>
      <c r="B242" s="2" t="s">
        <v>278</v>
      </c>
      <c r="C242" s="2" t="s">
        <v>333</v>
      </c>
      <c r="D242" s="2" t="s">
        <v>42</v>
      </c>
      <c r="E242" s="3">
        <v>100</v>
      </c>
      <c r="F242" s="2" t="s">
        <v>408</v>
      </c>
      <c r="G242" s="2" t="s">
        <v>541</v>
      </c>
      <c r="H242" s="2">
        <f>_xlfn.XLOOKUP(G242, Direcții!B:B,Direcții!A:A, "NU GASIT",0)</f>
        <v>14</v>
      </c>
    </row>
    <row r="243" spans="1:8" ht="14.4" x14ac:dyDescent="0.3">
      <c r="A243" s="2">
        <v>583</v>
      </c>
      <c r="B243" s="2" t="s">
        <v>279</v>
      </c>
      <c r="C243" s="2" t="s">
        <v>333</v>
      </c>
      <c r="D243" s="2" t="s">
        <v>42</v>
      </c>
      <c r="E243" s="3">
        <v>15000</v>
      </c>
      <c r="F243" s="2" t="s">
        <v>408</v>
      </c>
      <c r="G243" s="2" t="s">
        <v>538</v>
      </c>
      <c r="H243" s="2">
        <f>_xlfn.XLOOKUP(G243, Direcții!B:B,Direcții!A:A, "NU GASIT",0)</f>
        <v>10</v>
      </c>
    </row>
    <row r="244" spans="1:8" ht="14.4" x14ac:dyDescent="0.3">
      <c r="A244" s="2">
        <v>584</v>
      </c>
      <c r="B244" s="2" t="s">
        <v>280</v>
      </c>
      <c r="C244" s="2" t="s">
        <v>333</v>
      </c>
      <c r="D244" s="2" t="s">
        <v>42</v>
      </c>
      <c r="E244" s="3">
        <v>8000</v>
      </c>
      <c r="F244" s="2" t="s">
        <v>408</v>
      </c>
      <c r="G244" s="2" t="s">
        <v>552</v>
      </c>
      <c r="H244" s="2">
        <f>_xlfn.XLOOKUP(G244, Direcții!B:B,Direcții!A:A, "NU GASIT",0)</f>
        <v>9</v>
      </c>
    </row>
    <row r="245" spans="1:8" ht="14.4" x14ac:dyDescent="0.3">
      <c r="A245" s="2">
        <v>585</v>
      </c>
      <c r="B245" s="2" t="s">
        <v>281</v>
      </c>
      <c r="C245" s="2" t="s">
        <v>333</v>
      </c>
      <c r="D245" s="2" t="s">
        <v>42</v>
      </c>
      <c r="E245" s="3">
        <v>2521</v>
      </c>
      <c r="F245" s="2" t="s">
        <v>408</v>
      </c>
      <c r="G245" s="2" t="s">
        <v>546</v>
      </c>
      <c r="H245" s="2">
        <f>_xlfn.XLOOKUP(G245, Direcții!B:B,Direcții!A:A, "NU GASIT",0)</f>
        <v>12</v>
      </c>
    </row>
    <row r="246" spans="1:8" ht="14.4" x14ac:dyDescent="0.3">
      <c r="A246" s="2">
        <v>586</v>
      </c>
      <c r="B246" s="2" t="s">
        <v>282</v>
      </c>
      <c r="C246" s="2" t="s">
        <v>333</v>
      </c>
      <c r="D246" s="2" t="s">
        <v>42</v>
      </c>
      <c r="E246" s="3">
        <v>5648</v>
      </c>
      <c r="F246" s="2" t="s">
        <v>408</v>
      </c>
      <c r="G246" s="2" t="s">
        <v>552</v>
      </c>
      <c r="H246" s="2">
        <f>_xlfn.XLOOKUP(G246, Direcții!B:B,Direcții!A:A, "NU GASIT",0)</f>
        <v>9</v>
      </c>
    </row>
    <row r="247" spans="1:8" ht="14.4" x14ac:dyDescent="0.3">
      <c r="A247" s="2">
        <v>587</v>
      </c>
      <c r="B247" s="2" t="s">
        <v>283</v>
      </c>
      <c r="C247" s="2" t="s">
        <v>333</v>
      </c>
      <c r="D247" s="2" t="s">
        <v>42</v>
      </c>
      <c r="E247" s="3">
        <v>30252</v>
      </c>
      <c r="F247" s="2" t="s">
        <v>408</v>
      </c>
      <c r="G247" s="2" t="s">
        <v>536</v>
      </c>
      <c r="H247" s="2">
        <f>_xlfn.XLOOKUP(G247, Direcții!B:B,Direcții!A:A, "NU GASIT",0)</f>
        <v>7</v>
      </c>
    </row>
    <row r="248" spans="1:8" ht="14.4" x14ac:dyDescent="0.3">
      <c r="A248" s="2">
        <v>588</v>
      </c>
      <c r="B248" s="2" t="s">
        <v>284</v>
      </c>
      <c r="C248" s="2" t="s">
        <v>333</v>
      </c>
      <c r="D248" s="2" t="s">
        <v>42</v>
      </c>
      <c r="E248" s="3">
        <v>29638.2</v>
      </c>
      <c r="F248" s="2" t="s">
        <v>408</v>
      </c>
      <c r="G248" s="2" t="s">
        <v>535</v>
      </c>
      <c r="H248" s="2">
        <f>_xlfn.XLOOKUP(G248, Direcții!B:B,Direcții!A:A, "NU GASIT",0)</f>
        <v>3</v>
      </c>
    </row>
    <row r="249" spans="1:8" ht="14.4" x14ac:dyDescent="0.3">
      <c r="A249" s="2">
        <v>589</v>
      </c>
      <c r="B249" s="2" t="s">
        <v>285</v>
      </c>
      <c r="C249" s="2" t="s">
        <v>333</v>
      </c>
      <c r="D249" s="2" t="s">
        <v>42</v>
      </c>
      <c r="E249" s="3">
        <v>20000</v>
      </c>
      <c r="F249" s="2" t="s">
        <v>408</v>
      </c>
      <c r="G249" s="2" t="s">
        <v>543</v>
      </c>
      <c r="H249" s="2">
        <f>_xlfn.XLOOKUP(G249, Direcții!B:B,Direcții!A:A, "NU GASIT",0)</f>
        <v>19</v>
      </c>
    </row>
    <row r="250" spans="1:8" ht="14.4" x14ac:dyDescent="0.3">
      <c r="A250" s="2">
        <v>590</v>
      </c>
      <c r="B250" s="2" t="s">
        <v>286</v>
      </c>
      <c r="C250" s="2" t="s">
        <v>333</v>
      </c>
      <c r="D250" s="2" t="s">
        <v>42</v>
      </c>
      <c r="E250" s="3">
        <v>28000</v>
      </c>
      <c r="F250" s="2" t="s">
        <v>408</v>
      </c>
      <c r="G250" s="2" t="s">
        <v>543</v>
      </c>
      <c r="H250" s="2">
        <f>_xlfn.XLOOKUP(G250, Direcții!B:B,Direcții!A:A, "NU GASIT",0)</f>
        <v>19</v>
      </c>
    </row>
    <row r="251" spans="1:8" ht="14.4" x14ac:dyDescent="0.3">
      <c r="A251" s="2">
        <v>591</v>
      </c>
      <c r="B251" s="2" t="s">
        <v>287</v>
      </c>
      <c r="C251" s="2" t="s">
        <v>333</v>
      </c>
      <c r="D251" s="2" t="s">
        <v>42</v>
      </c>
      <c r="E251" s="3">
        <v>28000</v>
      </c>
      <c r="F251" s="2" t="s">
        <v>408</v>
      </c>
      <c r="G251" s="2" t="s">
        <v>543</v>
      </c>
      <c r="H251" s="2">
        <f>_xlfn.XLOOKUP(G251, Direcții!B:B,Direcții!A:A, "NU GASIT",0)</f>
        <v>19</v>
      </c>
    </row>
    <row r="252" spans="1:8" ht="14.4" x14ac:dyDescent="0.3">
      <c r="A252" s="2">
        <v>592</v>
      </c>
      <c r="B252" s="2" t="s">
        <v>288</v>
      </c>
      <c r="C252" s="2" t="s">
        <v>333</v>
      </c>
      <c r="D252" s="2" t="s">
        <v>42</v>
      </c>
      <c r="E252" s="3">
        <v>28000</v>
      </c>
      <c r="F252" s="2" t="s">
        <v>408</v>
      </c>
      <c r="G252" s="2" t="s">
        <v>543</v>
      </c>
      <c r="H252" s="2">
        <f>_xlfn.XLOOKUP(G252, Direcții!B:B,Direcții!A:A, "NU GASIT",0)</f>
        <v>19</v>
      </c>
    </row>
    <row r="253" spans="1:8" ht="14.4" x14ac:dyDescent="0.3">
      <c r="A253" s="2">
        <v>593</v>
      </c>
      <c r="B253" s="2" t="s">
        <v>289</v>
      </c>
      <c r="C253" s="2" t="s">
        <v>333</v>
      </c>
      <c r="D253" s="2" t="s">
        <v>42</v>
      </c>
      <c r="E253" s="3">
        <v>28000</v>
      </c>
      <c r="F253" s="2" t="s">
        <v>408</v>
      </c>
      <c r="G253" s="2" t="s">
        <v>543</v>
      </c>
      <c r="H253" s="2">
        <f>_xlfn.XLOOKUP(G253, Direcții!B:B,Direcții!A:A, "NU GASIT",0)</f>
        <v>19</v>
      </c>
    </row>
    <row r="254" spans="1:8" ht="14.4" x14ac:dyDescent="0.3">
      <c r="A254" s="2">
        <v>594</v>
      </c>
      <c r="B254" s="2" t="s">
        <v>290</v>
      </c>
      <c r="C254" s="2" t="s">
        <v>333</v>
      </c>
      <c r="D254" s="2" t="s">
        <v>42</v>
      </c>
      <c r="E254" s="3">
        <v>70000</v>
      </c>
      <c r="F254" s="2" t="s">
        <v>408</v>
      </c>
      <c r="G254" s="2" t="s">
        <v>538</v>
      </c>
      <c r="H254" s="2">
        <f>_xlfn.XLOOKUP(G254, Direcții!B:B,Direcții!A:A, "NU GASIT",0)</f>
        <v>10</v>
      </c>
    </row>
    <row r="255" spans="1:8" ht="14.4" x14ac:dyDescent="0.3">
      <c r="A255" s="2">
        <v>595</v>
      </c>
      <c r="B255" s="2" t="s">
        <v>291</v>
      </c>
      <c r="C255" s="2" t="s">
        <v>333</v>
      </c>
      <c r="D255" s="2" t="s">
        <v>42</v>
      </c>
      <c r="E255" s="3">
        <v>52000</v>
      </c>
      <c r="F255" s="2" t="s">
        <v>408</v>
      </c>
      <c r="G255" s="2" t="s">
        <v>552</v>
      </c>
      <c r="H255" s="2">
        <f>_xlfn.XLOOKUP(G255, Direcții!B:B,Direcții!A:A, "NU GASIT",0)</f>
        <v>9</v>
      </c>
    </row>
    <row r="256" spans="1:8" ht="14.4" x14ac:dyDescent="0.3">
      <c r="A256" s="2">
        <v>596</v>
      </c>
      <c r="B256" s="2" t="s">
        <v>292</v>
      </c>
      <c r="C256" s="2" t="s">
        <v>333</v>
      </c>
      <c r="D256" s="2" t="s">
        <v>42</v>
      </c>
      <c r="E256" s="3">
        <v>139000</v>
      </c>
      <c r="F256" s="2" t="s">
        <v>408</v>
      </c>
      <c r="G256" s="2" t="s">
        <v>535</v>
      </c>
      <c r="H256" s="2">
        <f>_xlfn.XLOOKUP(G256, Direcții!B:B,Direcții!A:A, "NU GASIT",0)</f>
        <v>3</v>
      </c>
    </row>
    <row r="257" spans="1:8" ht="14.4" x14ac:dyDescent="0.3">
      <c r="A257" s="2">
        <v>597</v>
      </c>
      <c r="B257" s="2" t="s">
        <v>293</v>
      </c>
      <c r="C257" s="2" t="s">
        <v>333</v>
      </c>
      <c r="D257" s="2" t="s">
        <v>42</v>
      </c>
      <c r="E257" s="3">
        <v>28700</v>
      </c>
      <c r="F257" s="2" t="s">
        <v>408</v>
      </c>
      <c r="G257" s="2" t="s">
        <v>535</v>
      </c>
      <c r="H257" s="2">
        <f>_xlfn.XLOOKUP(G257, Direcții!B:B,Direcții!A:A, "NU GASIT",0)</f>
        <v>3</v>
      </c>
    </row>
    <row r="258" spans="1:8" ht="14.4" x14ac:dyDescent="0.3">
      <c r="A258" s="2">
        <v>598</v>
      </c>
      <c r="B258" s="2" t="s">
        <v>294</v>
      </c>
      <c r="C258" s="2" t="s">
        <v>333</v>
      </c>
      <c r="D258" s="2" t="s">
        <v>42</v>
      </c>
      <c r="E258" s="3">
        <v>23400</v>
      </c>
      <c r="F258" s="2" t="s">
        <v>408</v>
      </c>
      <c r="G258" s="2" t="s">
        <v>538</v>
      </c>
      <c r="H258" s="2">
        <f>_xlfn.XLOOKUP(G258, Direcții!B:B,Direcții!A:A, "NU GASIT",0)</f>
        <v>10</v>
      </c>
    </row>
    <row r="259" spans="1:8" ht="14.4" x14ac:dyDescent="0.3">
      <c r="A259" s="2">
        <v>599</v>
      </c>
      <c r="B259" s="2" t="s">
        <v>295</v>
      </c>
      <c r="C259" s="2" t="s">
        <v>333</v>
      </c>
      <c r="D259" s="2" t="s">
        <v>42</v>
      </c>
      <c r="E259" s="3">
        <v>259350</v>
      </c>
      <c r="F259" s="2" t="s">
        <v>408</v>
      </c>
      <c r="G259" s="2" t="s">
        <v>535</v>
      </c>
      <c r="H259" s="2">
        <f>_xlfn.XLOOKUP(G259, Direcții!B:B,Direcții!A:A, "NU GASIT",0)</f>
        <v>3</v>
      </c>
    </row>
    <row r="260" spans="1:8" ht="14.4" x14ac:dyDescent="0.3">
      <c r="A260" s="2">
        <v>600</v>
      </c>
      <c r="B260" s="2" t="s">
        <v>296</v>
      </c>
      <c r="C260" s="2" t="s">
        <v>333</v>
      </c>
      <c r="D260" s="2" t="s">
        <v>42</v>
      </c>
      <c r="E260" s="3">
        <v>65000</v>
      </c>
      <c r="F260" s="2" t="s">
        <v>408</v>
      </c>
      <c r="G260" s="2" t="s">
        <v>538</v>
      </c>
      <c r="H260" s="2">
        <f>_xlfn.XLOOKUP(G260, Direcții!B:B,Direcții!A:A, "NU GASIT",0)</f>
        <v>10</v>
      </c>
    </row>
    <row r="261" spans="1:8" ht="14.4" x14ac:dyDescent="0.3">
      <c r="A261" s="2">
        <v>601</v>
      </c>
      <c r="B261" s="2" t="s">
        <v>297</v>
      </c>
      <c r="C261" s="2" t="s">
        <v>333</v>
      </c>
      <c r="D261" s="2" t="s">
        <v>42</v>
      </c>
      <c r="E261" s="3">
        <v>8403</v>
      </c>
      <c r="F261" s="2" t="s">
        <v>408</v>
      </c>
      <c r="G261" s="2" t="s">
        <v>552</v>
      </c>
      <c r="H261" s="2">
        <f>_xlfn.XLOOKUP(G261, Direcții!B:B,Direcții!A:A, "NU GASIT",0)</f>
        <v>9</v>
      </c>
    </row>
    <row r="262" spans="1:8" ht="14.4" x14ac:dyDescent="0.3">
      <c r="A262" s="2">
        <v>602</v>
      </c>
      <c r="B262" s="2" t="s">
        <v>298</v>
      </c>
      <c r="C262" s="2" t="s">
        <v>333</v>
      </c>
      <c r="D262" s="2" t="s">
        <v>42</v>
      </c>
      <c r="E262" s="3">
        <v>15120</v>
      </c>
      <c r="F262" s="2" t="s">
        <v>408</v>
      </c>
      <c r="G262" s="2" t="s">
        <v>552</v>
      </c>
      <c r="H262" s="2">
        <f>_xlfn.XLOOKUP(G262, Direcții!B:B,Direcții!A:A, "NU GASIT",0)</f>
        <v>9</v>
      </c>
    </row>
    <row r="263" spans="1:8" ht="14.4" x14ac:dyDescent="0.3">
      <c r="A263" s="2">
        <v>603</v>
      </c>
      <c r="B263" s="2" t="s">
        <v>299</v>
      </c>
      <c r="C263" s="2" t="s">
        <v>333</v>
      </c>
      <c r="D263" s="2" t="s">
        <v>42</v>
      </c>
      <c r="E263" s="3">
        <v>5000</v>
      </c>
      <c r="F263" s="2" t="s">
        <v>408</v>
      </c>
      <c r="G263" s="2" t="s">
        <v>538</v>
      </c>
      <c r="H263" s="2">
        <f>_xlfn.XLOOKUP(G263, Direcții!B:B,Direcții!A:A, "NU GASIT",0)</f>
        <v>10</v>
      </c>
    </row>
    <row r="264" spans="1:8" ht="14.4" x14ac:dyDescent="0.3">
      <c r="A264" s="2">
        <v>604</v>
      </c>
      <c r="B264" s="2" t="s">
        <v>300</v>
      </c>
      <c r="C264" s="2" t="s">
        <v>333</v>
      </c>
      <c r="D264" s="2" t="s">
        <v>42</v>
      </c>
      <c r="E264" s="3">
        <v>5000</v>
      </c>
      <c r="F264" s="2" t="s">
        <v>408</v>
      </c>
      <c r="G264" s="2" t="s">
        <v>538</v>
      </c>
      <c r="H264" s="2">
        <f>_xlfn.XLOOKUP(G264, Direcții!B:B,Direcții!A:A, "NU GASIT",0)</f>
        <v>10</v>
      </c>
    </row>
    <row r="265" spans="1:8" ht="14.4" x14ac:dyDescent="0.3">
      <c r="A265" s="2">
        <v>605</v>
      </c>
      <c r="B265" s="2" t="s">
        <v>301</v>
      </c>
      <c r="C265" s="2" t="s">
        <v>333</v>
      </c>
      <c r="D265" s="2" t="s">
        <v>42</v>
      </c>
      <c r="E265" s="3">
        <v>260000</v>
      </c>
      <c r="F265" s="2" t="s">
        <v>408</v>
      </c>
      <c r="G265" s="2" t="s">
        <v>538</v>
      </c>
      <c r="H265" s="2">
        <f>_xlfn.XLOOKUP(G265, Direcții!B:B,Direcții!A:A, "NU GASIT",0)</f>
        <v>10</v>
      </c>
    </row>
    <row r="266" spans="1:8" ht="14.4" x14ac:dyDescent="0.3">
      <c r="A266" s="2">
        <v>606</v>
      </c>
      <c r="B266" s="2" t="s">
        <v>302</v>
      </c>
      <c r="C266" s="2" t="s">
        <v>333</v>
      </c>
      <c r="D266" s="2" t="s">
        <v>42</v>
      </c>
      <c r="E266" s="3">
        <v>5238</v>
      </c>
      <c r="F266" s="2" t="s">
        <v>408</v>
      </c>
      <c r="G266" s="2" t="s">
        <v>538</v>
      </c>
      <c r="H266" s="2">
        <f>_xlfn.XLOOKUP(G266, Direcții!B:B,Direcții!A:A, "NU GASIT",0)</f>
        <v>10</v>
      </c>
    </row>
    <row r="267" spans="1:8" ht="14.4" x14ac:dyDescent="0.3">
      <c r="A267" s="2">
        <v>607</v>
      </c>
      <c r="B267" s="2" t="s">
        <v>303</v>
      </c>
      <c r="C267" s="2" t="s">
        <v>333</v>
      </c>
      <c r="D267" s="2" t="s">
        <v>42</v>
      </c>
      <c r="E267" s="3">
        <v>5650</v>
      </c>
      <c r="F267" s="2" t="s">
        <v>408</v>
      </c>
      <c r="G267" s="2" t="s">
        <v>538</v>
      </c>
      <c r="H267" s="2">
        <f>_xlfn.XLOOKUP(G267, Direcții!B:B,Direcții!A:A, "NU GASIT",0)</f>
        <v>10</v>
      </c>
    </row>
    <row r="268" spans="1:8" ht="14.4" x14ac:dyDescent="0.3">
      <c r="A268" s="2">
        <v>608</v>
      </c>
      <c r="B268" s="2" t="s">
        <v>304</v>
      </c>
      <c r="C268" s="2" t="s">
        <v>333</v>
      </c>
      <c r="D268" s="2" t="s">
        <v>42</v>
      </c>
      <c r="E268" s="3">
        <v>4500</v>
      </c>
      <c r="F268" s="2" t="s">
        <v>408</v>
      </c>
      <c r="G268" s="2" t="s">
        <v>538</v>
      </c>
      <c r="H268" s="2">
        <f>_xlfn.XLOOKUP(G268, Direcții!B:B,Direcții!A:A, "NU GASIT",0)</f>
        <v>10</v>
      </c>
    </row>
    <row r="269" spans="1:8" ht="14.4" x14ac:dyDescent="0.3">
      <c r="A269" s="2">
        <v>609</v>
      </c>
      <c r="B269" s="2" t="s">
        <v>305</v>
      </c>
      <c r="C269" s="2" t="s">
        <v>333</v>
      </c>
      <c r="D269" s="2" t="s">
        <v>42</v>
      </c>
      <c r="E269" s="3">
        <v>2970</v>
      </c>
      <c r="F269" s="2" t="s">
        <v>408</v>
      </c>
      <c r="G269" s="2" t="s">
        <v>538</v>
      </c>
      <c r="H269" s="2">
        <f>_xlfn.XLOOKUP(G269, Direcții!B:B,Direcții!A:A, "NU GASIT",0)</f>
        <v>10</v>
      </c>
    </row>
    <row r="270" spans="1:8" ht="14.4" x14ac:dyDescent="0.3">
      <c r="A270" s="2">
        <v>610</v>
      </c>
      <c r="B270" s="2" t="s">
        <v>306</v>
      </c>
      <c r="C270" s="2" t="s">
        <v>333</v>
      </c>
      <c r="D270" s="2" t="s">
        <v>42</v>
      </c>
      <c r="E270" s="3">
        <v>44113</v>
      </c>
      <c r="F270" s="2" t="s">
        <v>408</v>
      </c>
      <c r="G270" s="2" t="s">
        <v>696</v>
      </c>
      <c r="H270" s="2">
        <f>_xlfn.XLOOKUP(G270, Direcții!B:B,Direcții!A:A, "NU GASIT",0)</f>
        <v>23</v>
      </c>
    </row>
    <row r="271" spans="1:8" ht="14.4" x14ac:dyDescent="0.3">
      <c r="A271" s="2">
        <v>611</v>
      </c>
      <c r="B271" s="2" t="s">
        <v>307</v>
      </c>
      <c r="C271" s="2" t="s">
        <v>333</v>
      </c>
      <c r="D271" s="2" t="s">
        <v>42</v>
      </c>
      <c r="E271" s="3">
        <v>206000</v>
      </c>
      <c r="F271" s="2" t="s">
        <v>408</v>
      </c>
      <c r="G271" s="2" t="s">
        <v>696</v>
      </c>
      <c r="H271" s="2">
        <f>_xlfn.XLOOKUP(G271, Direcții!B:B,Direcții!A:A, "NU GASIT",0)</f>
        <v>23</v>
      </c>
    </row>
    <row r="272" spans="1:8" ht="14.4" x14ac:dyDescent="0.3">
      <c r="A272" s="2">
        <v>612</v>
      </c>
      <c r="B272" s="2" t="s">
        <v>308</v>
      </c>
      <c r="C272" s="2" t="s">
        <v>333</v>
      </c>
      <c r="D272" s="2" t="s">
        <v>42</v>
      </c>
      <c r="E272" s="3">
        <v>35000</v>
      </c>
      <c r="F272" s="2" t="s">
        <v>408</v>
      </c>
      <c r="G272" s="2" t="s">
        <v>540</v>
      </c>
      <c r="H272" s="2">
        <f>_xlfn.XLOOKUP(G272, Direcții!B:B,Direcții!A:A, "NU GASIT",0)</f>
        <v>13</v>
      </c>
    </row>
    <row r="273" spans="1:8" ht="14.4" x14ac:dyDescent="0.3">
      <c r="A273" s="2">
        <v>613</v>
      </c>
      <c r="B273" s="2" t="s">
        <v>309</v>
      </c>
      <c r="C273" s="2" t="s">
        <v>333</v>
      </c>
      <c r="D273" s="2" t="s">
        <v>42</v>
      </c>
      <c r="E273" s="3">
        <v>2995</v>
      </c>
      <c r="F273" s="2" t="s">
        <v>408</v>
      </c>
      <c r="G273" s="2" t="s">
        <v>552</v>
      </c>
      <c r="H273" s="2">
        <f>_xlfn.XLOOKUP(G273, Direcții!B:B,Direcții!A:A, "NU GASIT",0)</f>
        <v>9</v>
      </c>
    </row>
    <row r="274" spans="1:8" ht="14.4" x14ac:dyDescent="0.3">
      <c r="A274" s="2">
        <v>614</v>
      </c>
      <c r="B274" s="2" t="s">
        <v>310</v>
      </c>
      <c r="C274" s="2" t="s">
        <v>333</v>
      </c>
      <c r="D274" s="2" t="s">
        <v>42</v>
      </c>
      <c r="E274" s="3">
        <v>9450</v>
      </c>
      <c r="F274" s="2" t="s">
        <v>408</v>
      </c>
      <c r="G274" s="2" t="s">
        <v>546</v>
      </c>
      <c r="H274" s="2">
        <f>_xlfn.XLOOKUP(G274, Direcții!B:B,Direcții!A:A, "NU GASIT",0)</f>
        <v>12</v>
      </c>
    </row>
    <row r="275" spans="1:8" ht="14.4" x14ac:dyDescent="0.3">
      <c r="A275" s="2">
        <v>616</v>
      </c>
      <c r="B275" s="2" t="s">
        <v>341</v>
      </c>
      <c r="C275" s="2" t="s">
        <v>333</v>
      </c>
      <c r="D275" s="2" t="s">
        <v>42</v>
      </c>
      <c r="E275" s="3">
        <v>156100</v>
      </c>
      <c r="F275" s="2" t="s">
        <v>408</v>
      </c>
      <c r="G275" s="2" t="s">
        <v>534</v>
      </c>
      <c r="H275" s="2">
        <f>_xlfn.XLOOKUP(G275, Direcții!B:B,Direcții!A:A, "NU GASIT",0)</f>
        <v>2</v>
      </c>
    </row>
    <row r="276" spans="1:8" ht="14.4" x14ac:dyDescent="0.3">
      <c r="A276" s="2">
        <v>617</v>
      </c>
      <c r="B276" s="2" t="s">
        <v>342</v>
      </c>
      <c r="C276" s="2" t="s">
        <v>333</v>
      </c>
      <c r="D276" s="2" t="s">
        <v>42</v>
      </c>
      <c r="E276" s="3">
        <v>13000</v>
      </c>
      <c r="F276" s="2" t="s">
        <v>408</v>
      </c>
      <c r="G276" s="2" t="s">
        <v>538</v>
      </c>
      <c r="H276" s="2">
        <f>_xlfn.XLOOKUP(G276, Direcții!B:B,Direcții!A:A, "NU GASIT",0)</f>
        <v>10</v>
      </c>
    </row>
    <row r="277" spans="1:8" ht="14.4" x14ac:dyDescent="0.3">
      <c r="A277" s="2">
        <v>618</v>
      </c>
      <c r="B277" s="2" t="s">
        <v>311</v>
      </c>
      <c r="C277" s="2" t="s">
        <v>332</v>
      </c>
      <c r="D277" s="2" t="s">
        <v>43</v>
      </c>
      <c r="E277" s="3">
        <v>196400</v>
      </c>
      <c r="F277" s="2" t="s">
        <v>408</v>
      </c>
      <c r="G277" s="2" t="s">
        <v>552</v>
      </c>
      <c r="H277" s="2">
        <f>_xlfn.XLOOKUP(G277, Direcții!B:B,Direcții!A:A, "NU GASIT",0)</f>
        <v>9</v>
      </c>
    </row>
    <row r="278" spans="1:8" ht="14.4" x14ac:dyDescent="0.3">
      <c r="A278" s="2">
        <v>619</v>
      </c>
      <c r="B278" s="2" t="s">
        <v>312</v>
      </c>
      <c r="C278" s="2" t="s">
        <v>332</v>
      </c>
      <c r="D278" s="2" t="s">
        <v>43</v>
      </c>
      <c r="E278" s="3">
        <v>115494</v>
      </c>
      <c r="F278" s="2" t="s">
        <v>409</v>
      </c>
      <c r="G278" s="2" t="s">
        <v>552</v>
      </c>
      <c r="H278" s="2">
        <f>_xlfn.XLOOKUP(G278, Direcții!B:B,Direcții!A:A, "NU GASIT",0)</f>
        <v>9</v>
      </c>
    </row>
    <row r="279" spans="1:8" ht="14.4" x14ac:dyDescent="0.3">
      <c r="A279" s="2">
        <v>620</v>
      </c>
      <c r="B279" s="2" t="s">
        <v>313</v>
      </c>
      <c r="C279" s="2" t="s">
        <v>332</v>
      </c>
      <c r="D279" s="2" t="s">
        <v>43</v>
      </c>
      <c r="E279" s="3">
        <v>489654.84</v>
      </c>
      <c r="F279" s="2" t="s">
        <v>408</v>
      </c>
      <c r="G279" s="2" t="s">
        <v>552</v>
      </c>
      <c r="H279" s="2">
        <f>_xlfn.XLOOKUP(G279, Direcții!B:B,Direcții!A:A, "NU GASIT",0)</f>
        <v>9</v>
      </c>
    </row>
    <row r="280" spans="1:8" ht="14.4" x14ac:dyDescent="0.3">
      <c r="A280" s="2">
        <v>621</v>
      </c>
      <c r="B280" s="2" t="s">
        <v>314</v>
      </c>
      <c r="C280" s="2" t="s">
        <v>332</v>
      </c>
      <c r="D280" s="2" t="s">
        <v>43</v>
      </c>
      <c r="E280" s="3">
        <v>300000</v>
      </c>
      <c r="F280" s="2" t="s">
        <v>409</v>
      </c>
      <c r="G280" s="2" t="s">
        <v>561</v>
      </c>
      <c r="H280" s="2">
        <f>_xlfn.XLOOKUP(G280, Direcții!B:B,Direcții!A:A, "NU GASIT",0)</f>
        <v>6</v>
      </c>
    </row>
    <row r="281" spans="1:8" ht="14.4" x14ac:dyDescent="0.3">
      <c r="A281" s="2">
        <v>624</v>
      </c>
      <c r="B281" s="2" t="s">
        <v>396</v>
      </c>
      <c r="C281" s="2" t="s">
        <v>343</v>
      </c>
      <c r="D281" s="2" t="s">
        <v>42</v>
      </c>
      <c r="E281" s="3">
        <v>432453</v>
      </c>
      <c r="F281" s="2" t="s">
        <v>409</v>
      </c>
      <c r="G281" s="2" t="s">
        <v>536</v>
      </c>
      <c r="H281" s="2">
        <f>_xlfn.XLOOKUP(G281, Direcții!B:B,Direcții!A:A, "NU GASIT",0)</f>
        <v>7</v>
      </c>
    </row>
    <row r="282" spans="1:8" ht="14.4" x14ac:dyDescent="0.3">
      <c r="A282" s="2">
        <v>625</v>
      </c>
      <c r="B282" s="2" t="s">
        <v>397</v>
      </c>
      <c r="C282" s="2" t="s">
        <v>343</v>
      </c>
      <c r="D282" s="2" t="s">
        <v>42</v>
      </c>
      <c r="E282" s="3">
        <v>131382</v>
      </c>
      <c r="F282" s="2" t="s">
        <v>409</v>
      </c>
      <c r="G282" s="2" t="s">
        <v>536</v>
      </c>
      <c r="H282" s="2">
        <f>_xlfn.XLOOKUP(G282, Direcții!B:B,Direcții!A:A, "NU GASIT",0)</f>
        <v>7</v>
      </c>
    </row>
    <row r="283" spans="1:8" ht="14.4" x14ac:dyDescent="0.3">
      <c r="A283" s="2">
        <v>626</v>
      </c>
      <c r="B283" s="2" t="s">
        <v>398</v>
      </c>
      <c r="C283" s="2" t="s">
        <v>343</v>
      </c>
      <c r="D283" s="2" t="s">
        <v>42</v>
      </c>
      <c r="E283" s="3">
        <v>123570</v>
      </c>
      <c r="F283" s="2" t="s">
        <v>409</v>
      </c>
      <c r="G283" s="2" t="s">
        <v>536</v>
      </c>
      <c r="H283" s="2">
        <f>_xlfn.XLOOKUP(G283, Direcții!B:B,Direcții!A:A, "NU GASIT",0)</f>
        <v>7</v>
      </c>
    </row>
    <row r="284" spans="1:8" ht="14.4" x14ac:dyDescent="0.3">
      <c r="A284" s="2">
        <v>628</v>
      </c>
      <c r="B284" s="2" t="s">
        <v>396</v>
      </c>
      <c r="C284" s="2" t="s">
        <v>343</v>
      </c>
      <c r="D284" s="2" t="s">
        <v>42</v>
      </c>
      <c r="E284" s="3">
        <v>338453</v>
      </c>
      <c r="F284" s="2" t="s">
        <v>409</v>
      </c>
      <c r="G284" s="2" t="s">
        <v>536</v>
      </c>
      <c r="H284" s="2">
        <f>_xlfn.XLOOKUP(G284, Direcții!B:B,Direcții!A:A, "NU GASIT",0)</f>
        <v>7</v>
      </c>
    </row>
    <row r="285" spans="1:8" ht="14.4" x14ac:dyDescent="0.3">
      <c r="A285" s="2">
        <v>637</v>
      </c>
      <c r="B285" s="2" t="s">
        <v>399</v>
      </c>
      <c r="C285" s="2" t="s">
        <v>344</v>
      </c>
      <c r="D285" s="2" t="s">
        <v>42</v>
      </c>
      <c r="E285" s="3">
        <v>155500</v>
      </c>
      <c r="F285" s="2" t="s">
        <v>409</v>
      </c>
      <c r="G285" s="2" t="s">
        <v>536</v>
      </c>
      <c r="H285" s="2">
        <f>_xlfn.XLOOKUP(G285, Direcții!B:B,Direcții!A:A, "NU GASIT",0)</f>
        <v>7</v>
      </c>
    </row>
    <row r="286" spans="1:8" ht="14.4" x14ac:dyDescent="0.3">
      <c r="A286" s="2">
        <v>645</v>
      </c>
      <c r="B286" s="2" t="s">
        <v>400</v>
      </c>
      <c r="C286" s="2" t="s">
        <v>391</v>
      </c>
      <c r="D286" s="2" t="s">
        <v>42</v>
      </c>
      <c r="E286" s="3">
        <v>94050</v>
      </c>
      <c r="F286" s="2" t="s">
        <v>409</v>
      </c>
      <c r="G286" s="2" t="s">
        <v>560</v>
      </c>
      <c r="H286" s="2">
        <f>_xlfn.XLOOKUP(G286, Direcții!B:B,Direcții!A:A, "NU GASIT",0)</f>
        <v>4</v>
      </c>
    </row>
    <row r="287" spans="1:8" ht="14.4" x14ac:dyDescent="0.3">
      <c r="A287" s="2">
        <v>646</v>
      </c>
      <c r="B287" s="2" t="s">
        <v>401</v>
      </c>
      <c r="C287" s="2" t="s">
        <v>391</v>
      </c>
      <c r="D287" s="2" t="s">
        <v>42</v>
      </c>
      <c r="E287" s="3">
        <v>78900.460000000006</v>
      </c>
      <c r="F287" s="2" t="s">
        <v>409</v>
      </c>
      <c r="G287" s="2" t="s">
        <v>560</v>
      </c>
      <c r="H287" s="2">
        <f>_xlfn.XLOOKUP(G287, Direcții!B:B,Direcții!A:A, "NU GASIT",0)</f>
        <v>4</v>
      </c>
    </row>
    <row r="288" spans="1:8" ht="14.4" x14ac:dyDescent="0.3">
      <c r="A288" s="2">
        <v>647</v>
      </c>
      <c r="B288" s="2" t="s">
        <v>402</v>
      </c>
      <c r="C288" s="2" t="s">
        <v>391</v>
      </c>
      <c r="D288" s="2" t="s">
        <v>42</v>
      </c>
      <c r="E288" s="3">
        <v>11600</v>
      </c>
      <c r="F288" s="2" t="s">
        <v>409</v>
      </c>
      <c r="G288" s="2" t="s">
        <v>560</v>
      </c>
      <c r="H288" s="2">
        <f>_xlfn.XLOOKUP(G288, Direcții!B:B,Direcții!A:A, "NU GASIT",0)</f>
        <v>4</v>
      </c>
    </row>
    <row r="289" spans="1:8" ht="14.4" x14ac:dyDescent="0.3">
      <c r="A289" s="2">
        <v>648</v>
      </c>
      <c r="B289" s="2" t="s">
        <v>400</v>
      </c>
      <c r="C289" s="2" t="s">
        <v>391</v>
      </c>
      <c r="D289" s="2" t="s">
        <v>42</v>
      </c>
      <c r="E289" s="3">
        <v>54892.800000000003</v>
      </c>
      <c r="F289" s="2" t="s">
        <v>409</v>
      </c>
      <c r="G289" s="2" t="s">
        <v>560</v>
      </c>
      <c r="H289" s="2">
        <f>_xlfn.XLOOKUP(G289, Direcții!B:B,Direcții!A:A, "NU GASIT",0)</f>
        <v>4</v>
      </c>
    </row>
    <row r="290" spans="1:8" ht="14.4" x14ac:dyDescent="0.3">
      <c r="A290" s="2">
        <v>651</v>
      </c>
      <c r="B290" s="2" t="s">
        <v>403</v>
      </c>
      <c r="C290" s="2" t="s">
        <v>392</v>
      </c>
      <c r="D290" s="2" t="s">
        <v>42</v>
      </c>
      <c r="E290" s="3">
        <v>40586</v>
      </c>
      <c r="F290" s="2" t="s">
        <v>409</v>
      </c>
      <c r="G290" s="2" t="s">
        <v>535</v>
      </c>
      <c r="H290" s="2">
        <f>_xlfn.XLOOKUP(G290, Direcții!B:B,Direcții!A:A, "NU GASIT",0)</f>
        <v>3</v>
      </c>
    </row>
    <row r="291" spans="1:8" ht="14.4" x14ac:dyDescent="0.3">
      <c r="A291" s="2">
        <v>653</v>
      </c>
      <c r="B291" s="2" t="s">
        <v>402</v>
      </c>
      <c r="C291" s="2" t="s">
        <v>345</v>
      </c>
      <c r="D291" s="2" t="s">
        <v>42</v>
      </c>
      <c r="E291" s="3">
        <v>7100</v>
      </c>
      <c r="F291" s="2" t="s">
        <v>409</v>
      </c>
      <c r="G291" s="2" t="s">
        <v>542</v>
      </c>
      <c r="H291" s="2">
        <f>_xlfn.XLOOKUP(G291, Direcții!B:B,Direcții!A:A, "NU GASIT",0)</f>
        <v>17</v>
      </c>
    </row>
    <row r="292" spans="1:8" ht="14.4" x14ac:dyDescent="0.3">
      <c r="A292" s="2">
        <v>655</v>
      </c>
      <c r="B292" s="2" t="s">
        <v>402</v>
      </c>
      <c r="C292" s="2" t="s">
        <v>346</v>
      </c>
      <c r="D292" s="2" t="s">
        <v>42</v>
      </c>
      <c r="E292" s="3">
        <v>4500</v>
      </c>
      <c r="F292" s="2" t="s">
        <v>409</v>
      </c>
      <c r="G292" s="2" t="s">
        <v>542</v>
      </c>
      <c r="H292" s="2">
        <f>_xlfn.XLOOKUP(G292, Direcții!B:B,Direcții!A:A, "NU GASIT",0)</f>
        <v>17</v>
      </c>
    </row>
    <row r="293" spans="1:8" ht="14.4" x14ac:dyDescent="0.3">
      <c r="A293" s="2">
        <v>660</v>
      </c>
      <c r="B293" s="2" t="s">
        <v>400</v>
      </c>
      <c r="C293" s="2" t="s">
        <v>347</v>
      </c>
      <c r="D293" s="2" t="s">
        <v>42</v>
      </c>
      <c r="E293" s="3">
        <v>115200</v>
      </c>
      <c r="F293" s="2" t="s">
        <v>409</v>
      </c>
      <c r="G293" s="2" t="s">
        <v>560</v>
      </c>
      <c r="H293" s="2">
        <f>_xlfn.XLOOKUP(G293, Direcții!B:B,Direcții!A:A, "NU GASIT",0)</f>
        <v>4</v>
      </c>
    </row>
    <row r="294" spans="1:8" ht="14.4" x14ac:dyDescent="0.3">
      <c r="A294" s="2">
        <v>661</v>
      </c>
      <c r="B294" s="2" t="s">
        <v>402</v>
      </c>
      <c r="C294" s="2" t="s">
        <v>347</v>
      </c>
      <c r="D294" s="2" t="s">
        <v>42</v>
      </c>
      <c r="E294" s="3">
        <v>131092.79999999999</v>
      </c>
      <c r="F294" s="2" t="s">
        <v>409</v>
      </c>
      <c r="G294" s="2" t="s">
        <v>560</v>
      </c>
      <c r="H294" s="2">
        <f>_xlfn.XLOOKUP(G294, Direcții!B:B,Direcții!A:A, "NU GASIT",0)</f>
        <v>4</v>
      </c>
    </row>
    <row r="295" spans="1:8" ht="14.4" x14ac:dyDescent="0.3">
      <c r="A295" s="2">
        <v>662</v>
      </c>
      <c r="B295" s="2" t="s">
        <v>400</v>
      </c>
      <c r="C295" s="2" t="s">
        <v>347</v>
      </c>
      <c r="D295" s="2" t="s">
        <v>42</v>
      </c>
      <c r="E295" s="3">
        <v>76800</v>
      </c>
      <c r="F295" s="2" t="s">
        <v>409</v>
      </c>
      <c r="G295" s="2" t="s">
        <v>560</v>
      </c>
      <c r="H295" s="2">
        <f>_xlfn.XLOOKUP(G295, Direcții!B:B,Direcții!A:A, "NU GASIT",0)</f>
        <v>4</v>
      </c>
    </row>
    <row r="296" spans="1:8" ht="14.4" x14ac:dyDescent="0.3">
      <c r="A296" s="2">
        <v>663</v>
      </c>
      <c r="B296" s="2" t="s">
        <v>402</v>
      </c>
      <c r="C296" s="2" t="s">
        <v>347</v>
      </c>
      <c r="D296" s="2" t="s">
        <v>42</v>
      </c>
      <c r="E296" s="3">
        <v>176009.96</v>
      </c>
      <c r="F296" s="2" t="s">
        <v>409</v>
      </c>
      <c r="G296" s="2" t="s">
        <v>560</v>
      </c>
      <c r="H296" s="2">
        <f>_xlfn.XLOOKUP(G296, Direcții!B:B,Direcții!A:A, "NU GASIT",0)</f>
        <v>4</v>
      </c>
    </row>
    <row r="297" spans="1:8" ht="14.4" x14ac:dyDescent="0.3">
      <c r="A297" s="2">
        <v>664</v>
      </c>
      <c r="B297" s="2" t="s">
        <v>404</v>
      </c>
      <c r="C297" s="2" t="s">
        <v>393</v>
      </c>
      <c r="D297" s="2" t="s">
        <v>42</v>
      </c>
      <c r="E297" s="3">
        <v>114021</v>
      </c>
      <c r="F297" s="2" t="s">
        <v>410</v>
      </c>
      <c r="G297" s="2" t="s">
        <v>696</v>
      </c>
      <c r="H297" s="2">
        <f>_xlfn.XLOOKUP(G297, Direcții!B:B,Direcții!A:A, "NU GASIT",0)</f>
        <v>23</v>
      </c>
    </row>
    <row r="298" spans="1:8" ht="14.4" x14ac:dyDescent="0.3">
      <c r="A298" s="2">
        <v>665</v>
      </c>
      <c r="B298" s="2" t="s">
        <v>405</v>
      </c>
      <c r="C298" s="2" t="s">
        <v>393</v>
      </c>
      <c r="D298" s="2" t="s">
        <v>42</v>
      </c>
      <c r="E298" s="3">
        <v>48192</v>
      </c>
      <c r="F298" s="2" t="s">
        <v>410</v>
      </c>
      <c r="G298" s="2" t="s">
        <v>696</v>
      </c>
      <c r="H298" s="2">
        <f>_xlfn.XLOOKUP(G298, Direcții!B:B,Direcții!A:A, "NU GASIT",0)</f>
        <v>23</v>
      </c>
    </row>
    <row r="299" spans="1:8" ht="14.4" x14ac:dyDescent="0.3">
      <c r="A299" s="2">
        <v>666</v>
      </c>
      <c r="B299" s="2" t="s">
        <v>406</v>
      </c>
      <c r="C299" s="2" t="s">
        <v>393</v>
      </c>
      <c r="D299" s="2" t="s">
        <v>42</v>
      </c>
      <c r="E299" s="3">
        <v>2951</v>
      </c>
      <c r="F299" s="2" t="s">
        <v>410</v>
      </c>
      <c r="G299" s="2" t="s">
        <v>696</v>
      </c>
      <c r="H299" s="2">
        <f>_xlfn.XLOOKUP(G299, Direcții!B:B,Direcții!A:A, "NU GASIT",0)</f>
        <v>23</v>
      </c>
    </row>
    <row r="300" spans="1:8" thickBot="1" x14ac:dyDescent="0.35">
      <c r="A300" s="2">
        <v>667</v>
      </c>
      <c r="B300" s="2" t="s">
        <v>407</v>
      </c>
      <c r="C300" s="2" t="s">
        <v>393</v>
      </c>
      <c r="D300" s="2" t="s">
        <v>42</v>
      </c>
      <c r="E300" s="3">
        <v>7541</v>
      </c>
      <c r="F300" s="2" t="s">
        <v>410</v>
      </c>
      <c r="G300" s="2" t="s">
        <v>696</v>
      </c>
      <c r="H300" s="2">
        <f>_xlfn.XLOOKUP(G300, Direcții!B:B,Direcții!A:A, "NU GASIT",0)</f>
        <v>23</v>
      </c>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D4FE2-C299-4B3F-8469-2DA41276BB6A}">
  <dimension ref="A1:D21"/>
  <sheetViews>
    <sheetView zoomScale="115" zoomScaleNormal="115" workbookViewId="0">
      <selection activeCell="G17" sqref="G17"/>
    </sheetView>
  </sheetViews>
  <sheetFormatPr defaultRowHeight="14.4" x14ac:dyDescent="0.3"/>
  <cols>
    <col min="1" max="1" width="8.88671875" customWidth="1"/>
    <col min="2" max="2" width="13.44140625" bestFit="1" customWidth="1"/>
    <col min="3" max="3" width="15.21875" bestFit="1" customWidth="1"/>
    <col min="4" max="4" width="13" customWidth="1"/>
  </cols>
  <sheetData>
    <row r="1" spans="1:4" s="4" customFormat="1" x14ac:dyDescent="0.3">
      <c r="A1" s="1" t="s">
        <v>40</v>
      </c>
      <c r="B1" s="1" t="s">
        <v>376</v>
      </c>
      <c r="C1" s="1" t="s">
        <v>377</v>
      </c>
      <c r="D1" s="1" t="s">
        <v>41</v>
      </c>
    </row>
    <row r="2" spans="1:4" x14ac:dyDescent="0.3">
      <c r="A2" s="2">
        <v>2005</v>
      </c>
      <c r="B2" s="10">
        <v>1461898.4790000001</v>
      </c>
      <c r="C2" s="10">
        <v>1460061.27</v>
      </c>
      <c r="D2" s="10">
        <v>16030.38</v>
      </c>
    </row>
    <row r="3" spans="1:4" x14ac:dyDescent="0.3">
      <c r="A3" s="2">
        <v>2006</v>
      </c>
      <c r="B3" s="10">
        <v>1918538.8670000001</v>
      </c>
      <c r="C3" s="10">
        <v>1823204.507</v>
      </c>
      <c r="D3" s="10">
        <v>11449.776</v>
      </c>
    </row>
    <row r="4" spans="1:4" x14ac:dyDescent="0.3">
      <c r="A4" s="2">
        <v>2007</v>
      </c>
      <c r="B4" s="10">
        <v>3068343.2560000001</v>
      </c>
      <c r="C4" s="10">
        <v>2972817.82</v>
      </c>
      <c r="D4" s="10">
        <v>285155.54499999998</v>
      </c>
    </row>
    <row r="5" spans="1:4" x14ac:dyDescent="0.3">
      <c r="A5" s="2">
        <v>2008</v>
      </c>
      <c r="B5" s="10">
        <v>3378425.8190000001</v>
      </c>
      <c r="C5" s="10">
        <v>3273707.9309999999</v>
      </c>
      <c r="D5" s="10">
        <v>234318.17</v>
      </c>
    </row>
    <row r="6" spans="1:4" x14ac:dyDescent="0.3">
      <c r="A6" s="2">
        <v>2009</v>
      </c>
      <c r="B6" s="10">
        <v>3418746.8879999998</v>
      </c>
      <c r="C6" s="10">
        <v>3322608.023</v>
      </c>
      <c r="D6" s="10">
        <v>189675.72200000001</v>
      </c>
    </row>
    <row r="7" spans="1:4" x14ac:dyDescent="0.3">
      <c r="A7" s="2">
        <v>2010</v>
      </c>
      <c r="B7" s="10">
        <v>3416388.7239999999</v>
      </c>
      <c r="C7" s="10">
        <v>3251784.7080000001</v>
      </c>
      <c r="D7" s="10">
        <v>138090.10200000001</v>
      </c>
    </row>
    <row r="8" spans="1:4" x14ac:dyDescent="0.3">
      <c r="A8" s="2">
        <v>2011</v>
      </c>
      <c r="B8" s="10">
        <v>3284054.35</v>
      </c>
      <c r="C8" s="10">
        <v>3322608.023</v>
      </c>
      <c r="D8" s="10">
        <v>88889.97</v>
      </c>
    </row>
    <row r="9" spans="1:4" x14ac:dyDescent="0.3">
      <c r="A9" s="2">
        <v>2012</v>
      </c>
      <c r="B9" s="10">
        <v>3201298.7560000001</v>
      </c>
      <c r="C9" s="10">
        <v>3360123.443</v>
      </c>
      <c r="D9" s="10">
        <v>26746.106</v>
      </c>
    </row>
    <row r="10" spans="1:4" x14ac:dyDescent="0.3">
      <c r="A10" s="2">
        <v>2013</v>
      </c>
      <c r="B10" s="10">
        <v>3206870.5929999999</v>
      </c>
      <c r="C10" s="10">
        <v>3214449.895</v>
      </c>
      <c r="D10" s="10">
        <v>31435.521000000001</v>
      </c>
    </row>
    <row r="11" spans="1:4" x14ac:dyDescent="0.3">
      <c r="A11" s="2">
        <v>2014</v>
      </c>
      <c r="B11" s="10">
        <v>3394594.514</v>
      </c>
      <c r="C11" s="10">
        <v>3344321.4959999998</v>
      </c>
      <c r="D11" s="10">
        <v>117341.554</v>
      </c>
    </row>
    <row r="12" spans="1:4" x14ac:dyDescent="0.3">
      <c r="A12" s="2">
        <v>2015</v>
      </c>
      <c r="B12" s="10">
        <v>3595357.27</v>
      </c>
      <c r="C12" s="10">
        <v>3376090.41</v>
      </c>
      <c r="D12" s="10">
        <v>73663.27</v>
      </c>
    </row>
    <row r="13" spans="1:4" x14ac:dyDescent="0.3">
      <c r="A13" s="2">
        <v>2016</v>
      </c>
      <c r="B13" s="10">
        <v>3715911.8169999998</v>
      </c>
      <c r="C13" s="10">
        <v>3030891.5359999998</v>
      </c>
      <c r="D13" s="10">
        <v>69440.675000000003</v>
      </c>
    </row>
    <row r="14" spans="1:4" x14ac:dyDescent="0.3">
      <c r="A14" s="2">
        <v>2017</v>
      </c>
      <c r="B14" s="10">
        <v>3857068.2510000002</v>
      </c>
      <c r="C14" s="10">
        <v>4271819.0729999999</v>
      </c>
      <c r="D14" s="10">
        <v>40225.353999999999</v>
      </c>
    </row>
    <row r="15" spans="1:4" x14ac:dyDescent="0.3">
      <c r="A15" s="2">
        <v>2018</v>
      </c>
      <c r="B15" s="10">
        <v>4199458.1279999996</v>
      </c>
      <c r="C15" s="10">
        <v>4705864.4369999999</v>
      </c>
      <c r="D15" s="10">
        <v>73544.455000000002</v>
      </c>
    </row>
    <row r="16" spans="1:4" x14ac:dyDescent="0.3">
      <c r="A16" s="2">
        <v>2019</v>
      </c>
      <c r="B16" s="10">
        <v>4051720.463</v>
      </c>
      <c r="C16" s="10">
        <v>4088684.19</v>
      </c>
      <c r="D16" s="10">
        <v>158022.14499999999</v>
      </c>
    </row>
    <row r="17" spans="1:4" x14ac:dyDescent="0.3">
      <c r="A17" s="2">
        <v>2020</v>
      </c>
      <c r="B17" s="10">
        <v>4464987.4239999996</v>
      </c>
      <c r="C17" s="10">
        <v>4418644.9840000002</v>
      </c>
      <c r="D17" s="10">
        <v>293252.37199999997</v>
      </c>
    </row>
    <row r="18" spans="1:4" x14ac:dyDescent="0.3">
      <c r="A18" s="2">
        <v>2021</v>
      </c>
      <c r="B18" s="10">
        <v>4997758.0970000001</v>
      </c>
      <c r="C18" s="10">
        <v>5001971.9440000001</v>
      </c>
      <c r="D18" s="10">
        <v>141391.87599999999</v>
      </c>
    </row>
    <row r="19" spans="1:4" x14ac:dyDescent="0.3">
      <c r="A19" s="2">
        <v>2022</v>
      </c>
      <c r="B19" s="10">
        <v>5301499.9460000005</v>
      </c>
      <c r="C19" s="10">
        <v>5249665.8130000001</v>
      </c>
      <c r="D19" s="10">
        <v>154211.66200000001</v>
      </c>
    </row>
    <row r="20" spans="1:4" x14ac:dyDescent="0.3">
      <c r="A20" s="2">
        <v>2023</v>
      </c>
      <c r="B20" s="10">
        <v>7146357.432</v>
      </c>
      <c r="C20" s="10">
        <v>7090029.6289999997</v>
      </c>
      <c r="D20" s="10">
        <v>274855.87099999998</v>
      </c>
    </row>
    <row r="21" spans="1:4" x14ac:dyDescent="0.3">
      <c r="A21" s="2">
        <v>2024</v>
      </c>
      <c r="B21" s="10">
        <v>6478669.6349999998</v>
      </c>
      <c r="C21" s="10">
        <v>6593533.3949999996</v>
      </c>
      <c r="D21" s="10">
        <v>728341.08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DD1BE-5FE9-4D86-9552-1A63C4036E91}">
  <dimension ref="A1:N15"/>
  <sheetViews>
    <sheetView workbookViewId="0">
      <selection activeCell="M9" sqref="M9"/>
    </sheetView>
  </sheetViews>
  <sheetFormatPr defaultRowHeight="14.4" x14ac:dyDescent="0.3"/>
  <cols>
    <col min="1" max="1" width="19" bestFit="1" customWidth="1"/>
    <col min="2" max="3" width="10.33203125" customWidth="1"/>
    <col min="4" max="4" width="15.44140625" customWidth="1"/>
    <col min="6" max="6" width="17.21875" customWidth="1"/>
    <col min="7" max="7" width="14.21875" bestFit="1" customWidth="1"/>
    <col min="8" max="8" width="14.6640625" bestFit="1" customWidth="1"/>
    <col min="9" max="9" width="18.77734375" bestFit="1" customWidth="1"/>
    <col min="10" max="10" width="19" bestFit="1" customWidth="1"/>
    <col min="11" max="11" width="14.21875" bestFit="1" customWidth="1"/>
    <col min="12" max="12" width="6.88671875" bestFit="1" customWidth="1"/>
    <col min="13" max="13" width="18.77734375" bestFit="1" customWidth="1"/>
    <col min="14" max="14" width="19" bestFit="1" customWidth="1"/>
  </cols>
  <sheetData>
    <row r="1" spans="1:14" x14ac:dyDescent="0.3">
      <c r="A1" s="19" t="s">
        <v>378</v>
      </c>
      <c r="B1" s="19"/>
      <c r="C1" s="19" t="s">
        <v>370</v>
      </c>
      <c r="D1" s="19"/>
      <c r="E1" s="19" t="s">
        <v>722</v>
      </c>
      <c r="F1" s="19"/>
      <c r="G1" s="19" t="s">
        <v>723</v>
      </c>
      <c r="H1" s="19"/>
      <c r="K1" s="1" t="s">
        <v>378</v>
      </c>
      <c r="L1" s="1" t="s">
        <v>716</v>
      </c>
      <c r="M1" s="1" t="s">
        <v>710</v>
      </c>
      <c r="N1" s="1" t="s">
        <v>711</v>
      </c>
    </row>
    <row r="2" spans="1:14" x14ac:dyDescent="0.3">
      <c r="J2" s="1" t="s">
        <v>712</v>
      </c>
      <c r="K2" s="1">
        <v>22</v>
      </c>
      <c r="L2" s="1">
        <v>15989</v>
      </c>
      <c r="M2" s="1">
        <v>43118.224999999999</v>
      </c>
      <c r="N2" s="1">
        <v>7462.5</v>
      </c>
    </row>
    <row r="3" spans="1:14" x14ac:dyDescent="0.3">
      <c r="A3" t="s">
        <v>697</v>
      </c>
      <c r="B3" s="20">
        <v>44.571428571428569</v>
      </c>
      <c r="C3" t="s">
        <v>697</v>
      </c>
      <c r="D3" s="20">
        <v>17538.731707317074</v>
      </c>
      <c r="E3" t="s">
        <v>697</v>
      </c>
      <c r="F3" s="20">
        <v>458875.02913043479</v>
      </c>
      <c r="G3" t="s">
        <v>697</v>
      </c>
      <c r="H3" s="20">
        <v>89111.583879598693</v>
      </c>
      <c r="J3" s="1" t="s">
        <v>713</v>
      </c>
      <c r="K3" s="1">
        <v>69.25</v>
      </c>
      <c r="L3" s="1">
        <v>20429</v>
      </c>
      <c r="M3" s="1">
        <v>1660817.1</v>
      </c>
      <c r="N3" s="1">
        <v>294754.685</v>
      </c>
    </row>
    <row r="4" spans="1:14" x14ac:dyDescent="0.3">
      <c r="A4" t="s">
        <v>698</v>
      </c>
      <c r="B4" s="20">
        <v>6.3405198515505239</v>
      </c>
      <c r="C4" t="s">
        <v>698</v>
      </c>
      <c r="D4" s="20">
        <v>215.85673140231836</v>
      </c>
      <c r="E4" t="s">
        <v>698</v>
      </c>
      <c r="F4" s="20">
        <v>171496.5272396692</v>
      </c>
      <c r="G4" t="s">
        <v>698</v>
      </c>
      <c r="H4" s="20">
        <v>7963.4187550941742</v>
      </c>
      <c r="J4" s="1" t="s">
        <v>714</v>
      </c>
      <c r="K4" s="1">
        <v>47.25</v>
      </c>
      <c r="L4" s="1">
        <v>4440</v>
      </c>
      <c r="M4" s="1">
        <v>1617698.875</v>
      </c>
      <c r="N4" s="1">
        <v>287292.185</v>
      </c>
    </row>
    <row r="5" spans="1:14" x14ac:dyDescent="0.3">
      <c r="A5" t="s">
        <v>699</v>
      </c>
      <c r="B5" s="25">
        <v>28</v>
      </c>
      <c r="C5" t="s">
        <v>699</v>
      </c>
      <c r="D5" s="25">
        <v>15989</v>
      </c>
      <c r="E5" t="s">
        <v>699</v>
      </c>
      <c r="F5" s="25">
        <v>77000</v>
      </c>
      <c r="G5" t="s">
        <v>699</v>
      </c>
      <c r="H5" s="25">
        <v>25890</v>
      </c>
      <c r="J5" s="1" t="s">
        <v>715</v>
      </c>
      <c r="K5" s="1">
        <v>140.125</v>
      </c>
      <c r="L5" s="1">
        <v>27089</v>
      </c>
      <c r="M5" s="1">
        <v>4087365.4125000001</v>
      </c>
      <c r="N5" s="1">
        <v>725692.96249999991</v>
      </c>
    </row>
    <row r="6" spans="1:14" x14ac:dyDescent="0.3">
      <c r="A6" t="s">
        <v>700</v>
      </c>
      <c r="B6" s="25">
        <v>23</v>
      </c>
      <c r="C6" t="s">
        <v>700</v>
      </c>
      <c r="D6" s="25">
        <v>15989</v>
      </c>
      <c r="E6" t="s">
        <v>700</v>
      </c>
      <c r="F6" s="20" t="e">
        <v>#N/A</v>
      </c>
      <c r="G6" t="s">
        <v>700</v>
      </c>
      <c r="H6" s="25">
        <v>2000</v>
      </c>
    </row>
    <row r="7" spans="1:14" x14ac:dyDescent="0.3">
      <c r="A7" t="s">
        <v>701</v>
      </c>
      <c r="B7" s="20">
        <v>33.550877420141724</v>
      </c>
      <c r="C7" t="s">
        <v>701</v>
      </c>
      <c r="D7" s="20">
        <v>2393.9669597716238</v>
      </c>
      <c r="E7" t="s">
        <v>701</v>
      </c>
      <c r="F7" s="20">
        <v>822468.45147466392</v>
      </c>
      <c r="G7" t="s">
        <v>701</v>
      </c>
      <c r="H7" s="20">
        <v>137700.38286957197</v>
      </c>
    </row>
    <row r="8" spans="1:14" x14ac:dyDescent="0.3">
      <c r="A8" t="s">
        <v>702</v>
      </c>
      <c r="B8" s="20">
        <v>1125.6613756613758</v>
      </c>
      <c r="C8" t="s">
        <v>702</v>
      </c>
      <c r="D8" s="20">
        <v>5731077.8044781918</v>
      </c>
      <c r="E8" t="s">
        <v>702</v>
      </c>
      <c r="F8" s="20">
        <v>676454353671.13159</v>
      </c>
      <c r="G8" t="s">
        <v>702</v>
      </c>
      <c r="H8" s="20">
        <v>18961395442.426712</v>
      </c>
    </row>
    <row r="9" spans="1:14" x14ac:dyDescent="0.3">
      <c r="A9" t="s">
        <v>703</v>
      </c>
      <c r="B9" s="20">
        <v>0.44037064591151598</v>
      </c>
      <c r="C9" t="s">
        <v>703</v>
      </c>
      <c r="D9" s="20">
        <v>-0.40164891400652003</v>
      </c>
      <c r="E9" t="s">
        <v>703</v>
      </c>
      <c r="F9" s="20">
        <v>3.1786602685192609</v>
      </c>
      <c r="G9" t="s">
        <v>703</v>
      </c>
      <c r="H9" s="20">
        <v>5.1969412780899287</v>
      </c>
    </row>
    <row r="10" spans="1:14" x14ac:dyDescent="0.3">
      <c r="A10" t="s">
        <v>704</v>
      </c>
      <c r="B10" s="20">
        <v>1.0753132588354841</v>
      </c>
      <c r="C10" t="s">
        <v>704</v>
      </c>
      <c r="D10" s="20">
        <v>0.35589915144542766</v>
      </c>
      <c r="E10" t="s">
        <v>704</v>
      </c>
      <c r="F10" s="20">
        <v>2.0740715558867961</v>
      </c>
      <c r="G10" t="s">
        <v>704</v>
      </c>
      <c r="H10" s="20">
        <v>2.2765898791985926</v>
      </c>
    </row>
    <row r="11" spans="1:14" x14ac:dyDescent="0.3">
      <c r="A11" t="s">
        <v>705</v>
      </c>
      <c r="B11" s="20">
        <v>121</v>
      </c>
      <c r="C11" t="s">
        <v>705</v>
      </c>
      <c r="D11" s="25">
        <v>14554</v>
      </c>
      <c r="E11" t="s">
        <v>705</v>
      </c>
      <c r="F11" s="25">
        <v>2832320</v>
      </c>
      <c r="G11" t="s">
        <v>705</v>
      </c>
      <c r="H11" s="20">
        <v>693560</v>
      </c>
    </row>
    <row r="12" spans="1:14" x14ac:dyDescent="0.3">
      <c r="A12" t="s">
        <v>706</v>
      </c>
      <c r="B12" s="25">
        <v>6</v>
      </c>
      <c r="C12" t="s">
        <v>706</v>
      </c>
      <c r="D12" s="25">
        <v>9596</v>
      </c>
      <c r="E12" t="s">
        <v>706</v>
      </c>
      <c r="F12" s="20">
        <v>7680</v>
      </c>
      <c r="G12" t="s">
        <v>706</v>
      </c>
      <c r="H12" s="25">
        <v>100</v>
      </c>
    </row>
    <row r="13" spans="1:14" x14ac:dyDescent="0.3">
      <c r="A13" t="s">
        <v>707</v>
      </c>
      <c r="B13" s="25">
        <v>127</v>
      </c>
      <c r="C13" t="s">
        <v>707</v>
      </c>
      <c r="D13" s="25">
        <v>24150</v>
      </c>
      <c r="E13" t="s">
        <v>707</v>
      </c>
      <c r="F13" s="25">
        <v>2840000</v>
      </c>
      <c r="G13" t="s">
        <v>707</v>
      </c>
      <c r="H13" s="25">
        <v>693660</v>
      </c>
    </row>
    <row r="14" spans="1:14" x14ac:dyDescent="0.3">
      <c r="A14" t="s">
        <v>708</v>
      </c>
      <c r="B14" s="25">
        <v>1248</v>
      </c>
      <c r="C14" t="s">
        <v>708</v>
      </c>
      <c r="D14" s="25">
        <v>2157264</v>
      </c>
      <c r="E14" t="s">
        <v>708</v>
      </c>
      <c r="F14" s="20">
        <v>10554125.67</v>
      </c>
      <c r="G14" t="s">
        <v>708</v>
      </c>
      <c r="H14" s="20">
        <v>26644363.580000009</v>
      </c>
    </row>
    <row r="15" spans="1:14" ht="15" thickBot="1" x14ac:dyDescent="0.35">
      <c r="A15" s="18" t="s">
        <v>709</v>
      </c>
      <c r="B15" s="26">
        <v>28</v>
      </c>
      <c r="C15" s="18" t="s">
        <v>709</v>
      </c>
      <c r="D15" s="26">
        <v>123</v>
      </c>
      <c r="E15" s="18" t="s">
        <v>709</v>
      </c>
      <c r="F15" s="24">
        <v>23</v>
      </c>
      <c r="G15" s="18" t="s">
        <v>709</v>
      </c>
      <c r="H15" s="24">
        <v>299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ECC7A-D955-4173-9E9A-BA8E28A978F6}">
  <dimension ref="A1:E47"/>
  <sheetViews>
    <sheetView zoomScale="70" zoomScaleNormal="70" workbookViewId="0">
      <selection activeCell="G21" sqref="G21"/>
    </sheetView>
  </sheetViews>
  <sheetFormatPr defaultRowHeight="14.4" x14ac:dyDescent="0.3"/>
  <cols>
    <col min="1" max="1" width="115.88671875" bestFit="1" customWidth="1"/>
    <col min="2" max="2" width="17.109375" bestFit="1" customWidth="1"/>
    <col min="3" max="3" width="16.77734375" bestFit="1" customWidth="1"/>
    <col min="4" max="4" width="15.21875" bestFit="1" customWidth="1"/>
    <col min="5" max="5" width="16.88671875" bestFit="1" customWidth="1"/>
  </cols>
  <sheetData>
    <row r="1" spans="1:5" x14ac:dyDescent="0.3">
      <c r="A1" s="22" t="s">
        <v>375</v>
      </c>
      <c r="B1" t="s">
        <v>721</v>
      </c>
    </row>
    <row r="3" spans="1:5" x14ac:dyDescent="0.3">
      <c r="A3" s="22" t="s">
        <v>717</v>
      </c>
      <c r="B3" s="22" t="s">
        <v>718</v>
      </c>
    </row>
    <row r="4" spans="1:5" x14ac:dyDescent="0.3">
      <c r="A4" s="22" t="s">
        <v>720</v>
      </c>
      <c r="B4" t="s">
        <v>410</v>
      </c>
      <c r="C4" t="s">
        <v>408</v>
      </c>
      <c r="D4" t="s">
        <v>409</v>
      </c>
      <c r="E4" t="s">
        <v>719</v>
      </c>
    </row>
    <row r="5" spans="1:5" x14ac:dyDescent="0.3">
      <c r="A5" s="23" t="s">
        <v>164</v>
      </c>
      <c r="B5" s="20"/>
      <c r="C5" s="20">
        <v>1745180.5300000003</v>
      </c>
      <c r="D5" s="20">
        <v>81100</v>
      </c>
      <c r="E5" s="20">
        <v>1826280.5300000003</v>
      </c>
    </row>
    <row r="6" spans="1:5" x14ac:dyDescent="0.3">
      <c r="A6" s="27" t="s">
        <v>331</v>
      </c>
      <c r="B6" s="20"/>
      <c r="C6" s="20">
        <v>1745180.5300000003</v>
      </c>
      <c r="D6" s="20">
        <v>81100</v>
      </c>
      <c r="E6" s="20">
        <v>1826280.5300000003</v>
      </c>
    </row>
    <row r="7" spans="1:5" x14ac:dyDescent="0.3">
      <c r="A7" s="23" t="s">
        <v>47</v>
      </c>
      <c r="B7" s="20"/>
      <c r="C7" s="20">
        <v>660000</v>
      </c>
      <c r="D7" s="20"/>
      <c r="E7" s="20">
        <v>660000</v>
      </c>
    </row>
    <row r="8" spans="1:5" x14ac:dyDescent="0.3">
      <c r="A8" s="27" t="s">
        <v>315</v>
      </c>
      <c r="B8" s="20"/>
      <c r="C8" s="20">
        <v>660000</v>
      </c>
      <c r="D8" s="20"/>
      <c r="E8" s="20">
        <v>660000</v>
      </c>
    </row>
    <row r="9" spans="1:5" x14ac:dyDescent="0.3">
      <c r="A9" s="23" t="s">
        <v>44</v>
      </c>
      <c r="B9" s="20"/>
      <c r="C9" s="20">
        <v>5190629.99</v>
      </c>
      <c r="D9" s="20">
        <v>111224.9</v>
      </c>
      <c r="E9" s="20">
        <v>5301854.8899999997</v>
      </c>
    </row>
    <row r="10" spans="1:5" x14ac:dyDescent="0.3">
      <c r="A10" s="27" t="s">
        <v>316</v>
      </c>
      <c r="B10" s="20"/>
      <c r="C10" s="20">
        <v>281000</v>
      </c>
      <c r="D10" s="20">
        <v>55450.9</v>
      </c>
      <c r="E10" s="20">
        <v>336450.9</v>
      </c>
    </row>
    <row r="11" spans="1:5" x14ac:dyDescent="0.3">
      <c r="A11" s="27" t="s">
        <v>317</v>
      </c>
      <c r="B11" s="20"/>
      <c r="C11" s="20">
        <v>1544134</v>
      </c>
      <c r="D11" s="20"/>
      <c r="E11" s="20">
        <v>1544134</v>
      </c>
    </row>
    <row r="12" spans="1:5" x14ac:dyDescent="0.3">
      <c r="A12" s="27" t="s">
        <v>84</v>
      </c>
      <c r="B12" s="20"/>
      <c r="C12" s="20">
        <v>1326221.99</v>
      </c>
      <c r="D12" s="20"/>
      <c r="E12" s="20">
        <v>1326221.99</v>
      </c>
    </row>
    <row r="13" spans="1:5" x14ac:dyDescent="0.3">
      <c r="A13" s="27" t="s">
        <v>48</v>
      </c>
      <c r="B13" s="20"/>
      <c r="C13" s="20">
        <v>1139274</v>
      </c>
      <c r="D13" s="20"/>
      <c r="E13" s="20">
        <v>1139274</v>
      </c>
    </row>
    <row r="14" spans="1:5" x14ac:dyDescent="0.3">
      <c r="A14" s="27" t="s">
        <v>389</v>
      </c>
      <c r="B14" s="20"/>
      <c r="C14" s="20">
        <v>900000</v>
      </c>
      <c r="D14" s="20">
        <v>55774</v>
      </c>
      <c r="E14" s="20">
        <v>955774</v>
      </c>
    </row>
    <row r="15" spans="1:5" x14ac:dyDescent="0.3">
      <c r="A15" s="23" t="s">
        <v>43</v>
      </c>
      <c r="B15" s="20"/>
      <c r="C15" s="20">
        <v>686054.84000000008</v>
      </c>
      <c r="D15" s="20">
        <v>415494</v>
      </c>
      <c r="E15" s="20">
        <v>1101548.8400000001</v>
      </c>
    </row>
    <row r="16" spans="1:5" x14ac:dyDescent="0.3">
      <c r="A16" s="27" t="s">
        <v>332</v>
      </c>
      <c r="B16" s="20"/>
      <c r="C16" s="20">
        <v>686054.84000000008</v>
      </c>
      <c r="D16" s="20">
        <v>415494</v>
      </c>
      <c r="E16" s="20">
        <v>1101548.8400000001</v>
      </c>
    </row>
    <row r="17" spans="1:5" x14ac:dyDescent="0.3">
      <c r="A17" s="23" t="s">
        <v>42</v>
      </c>
      <c r="B17" s="20">
        <v>172705</v>
      </c>
      <c r="C17" s="20">
        <v>3302801.15</v>
      </c>
      <c r="D17" s="20">
        <v>2175263.02</v>
      </c>
      <c r="E17" s="20">
        <v>5650769.1699999999</v>
      </c>
    </row>
    <row r="18" spans="1:5" x14ac:dyDescent="0.3">
      <c r="A18" s="27" t="s">
        <v>391</v>
      </c>
      <c r="B18" s="20"/>
      <c r="C18" s="20"/>
      <c r="D18" s="20">
        <v>239443.26</v>
      </c>
      <c r="E18" s="20">
        <v>239443.26</v>
      </c>
    </row>
    <row r="19" spans="1:5" x14ac:dyDescent="0.3">
      <c r="A19" s="27" t="s">
        <v>346</v>
      </c>
      <c r="B19" s="20"/>
      <c r="C19" s="20"/>
      <c r="D19" s="20">
        <v>4500</v>
      </c>
      <c r="E19" s="20">
        <v>4500</v>
      </c>
    </row>
    <row r="20" spans="1:5" x14ac:dyDescent="0.3">
      <c r="A20" s="27" t="s">
        <v>393</v>
      </c>
      <c r="B20" s="20">
        <v>172705</v>
      </c>
      <c r="C20" s="20"/>
      <c r="D20" s="20"/>
      <c r="E20" s="20">
        <v>172705</v>
      </c>
    </row>
    <row r="21" spans="1:5" x14ac:dyDescent="0.3">
      <c r="A21" s="27" t="s">
        <v>343</v>
      </c>
      <c r="B21" s="20"/>
      <c r="C21" s="20"/>
      <c r="D21" s="20">
        <v>1025858</v>
      </c>
      <c r="E21" s="20">
        <v>1025858</v>
      </c>
    </row>
    <row r="22" spans="1:5" x14ac:dyDescent="0.3">
      <c r="A22" s="27" t="s">
        <v>345</v>
      </c>
      <c r="B22" s="20"/>
      <c r="C22" s="20"/>
      <c r="D22" s="20">
        <v>7100</v>
      </c>
      <c r="E22" s="20">
        <v>7100</v>
      </c>
    </row>
    <row r="23" spans="1:5" x14ac:dyDescent="0.3">
      <c r="A23" s="27" t="s">
        <v>347</v>
      </c>
      <c r="B23" s="20"/>
      <c r="C23" s="20"/>
      <c r="D23" s="20">
        <v>499102.76</v>
      </c>
      <c r="E23" s="20">
        <v>499102.76</v>
      </c>
    </row>
    <row r="24" spans="1:5" x14ac:dyDescent="0.3">
      <c r="A24" s="27" t="s">
        <v>344</v>
      </c>
      <c r="B24" s="20"/>
      <c r="C24" s="20"/>
      <c r="D24" s="20">
        <v>155500</v>
      </c>
      <c r="E24" s="20">
        <v>155500</v>
      </c>
    </row>
    <row r="25" spans="1:5" x14ac:dyDescent="0.3">
      <c r="A25" s="27" t="s">
        <v>333</v>
      </c>
      <c r="B25" s="20"/>
      <c r="C25" s="20">
        <v>3302801.15</v>
      </c>
      <c r="D25" s="20">
        <v>203173</v>
      </c>
      <c r="E25" s="20">
        <v>3505974.15</v>
      </c>
    </row>
    <row r="26" spans="1:5" x14ac:dyDescent="0.3">
      <c r="A26" s="27" t="s">
        <v>392</v>
      </c>
      <c r="B26" s="20"/>
      <c r="C26" s="20"/>
      <c r="D26" s="20">
        <v>40586</v>
      </c>
      <c r="E26" s="20">
        <v>40586</v>
      </c>
    </row>
    <row r="27" spans="1:5" x14ac:dyDescent="0.3">
      <c r="A27" s="23" t="s">
        <v>92</v>
      </c>
      <c r="B27" s="20"/>
      <c r="C27" s="20">
        <v>379917.76</v>
      </c>
      <c r="D27" s="20"/>
      <c r="E27" s="20">
        <v>379917.76</v>
      </c>
    </row>
    <row r="28" spans="1:5" x14ac:dyDescent="0.3">
      <c r="A28" s="27" t="s">
        <v>319</v>
      </c>
      <c r="B28" s="20"/>
      <c r="C28" s="20">
        <v>190000</v>
      </c>
      <c r="D28" s="20"/>
      <c r="E28" s="20">
        <v>190000</v>
      </c>
    </row>
    <row r="29" spans="1:5" x14ac:dyDescent="0.3">
      <c r="A29" s="27" t="s">
        <v>330</v>
      </c>
      <c r="B29" s="20"/>
      <c r="C29" s="20">
        <v>189917.76</v>
      </c>
      <c r="D29" s="20"/>
      <c r="E29" s="20">
        <v>189917.76</v>
      </c>
    </row>
    <row r="30" spans="1:5" x14ac:dyDescent="0.3">
      <c r="A30" s="23" t="s">
        <v>45</v>
      </c>
      <c r="B30" s="20">
        <v>35679</v>
      </c>
      <c r="C30" s="20">
        <v>9734460.3900000006</v>
      </c>
      <c r="D30" s="20">
        <v>1953853</v>
      </c>
      <c r="E30" s="20">
        <v>11723992.390000001</v>
      </c>
    </row>
    <row r="31" spans="1:5" x14ac:dyDescent="0.3">
      <c r="A31" s="27" t="s">
        <v>326</v>
      </c>
      <c r="B31" s="20"/>
      <c r="C31" s="20">
        <v>1138972.32</v>
      </c>
      <c r="D31" s="20"/>
      <c r="E31" s="20">
        <v>1138972.32</v>
      </c>
    </row>
    <row r="32" spans="1:5" x14ac:dyDescent="0.3">
      <c r="A32" s="27" t="s">
        <v>100</v>
      </c>
      <c r="B32" s="20"/>
      <c r="C32" s="20">
        <v>1639779</v>
      </c>
      <c r="D32" s="20"/>
      <c r="E32" s="20">
        <v>1639779</v>
      </c>
    </row>
    <row r="33" spans="1:5" x14ac:dyDescent="0.3">
      <c r="A33" s="27" t="s">
        <v>328</v>
      </c>
      <c r="B33" s="20">
        <v>25890</v>
      </c>
      <c r="C33" s="20"/>
      <c r="D33" s="20"/>
      <c r="E33" s="20">
        <v>25890</v>
      </c>
    </row>
    <row r="34" spans="1:5" x14ac:dyDescent="0.3">
      <c r="A34" s="27" t="s">
        <v>324</v>
      </c>
      <c r="B34" s="20"/>
      <c r="C34" s="20">
        <v>247680</v>
      </c>
      <c r="D34" s="20"/>
      <c r="E34" s="20">
        <v>247680</v>
      </c>
    </row>
    <row r="35" spans="1:5" x14ac:dyDescent="0.3">
      <c r="A35" s="27" t="s">
        <v>319</v>
      </c>
      <c r="B35" s="20"/>
      <c r="C35" s="20">
        <v>126051</v>
      </c>
      <c r="D35" s="20"/>
      <c r="E35" s="20">
        <v>126051</v>
      </c>
    </row>
    <row r="36" spans="1:5" x14ac:dyDescent="0.3">
      <c r="A36" s="27" t="s">
        <v>325</v>
      </c>
      <c r="B36" s="20"/>
      <c r="C36" s="20">
        <v>1674275.7000000002</v>
      </c>
      <c r="D36" s="20"/>
      <c r="E36" s="20">
        <v>1674275.7000000002</v>
      </c>
    </row>
    <row r="37" spans="1:5" x14ac:dyDescent="0.3">
      <c r="A37" s="27" t="s">
        <v>142</v>
      </c>
      <c r="B37" s="20"/>
      <c r="C37" s="20">
        <v>215233.61</v>
      </c>
      <c r="D37" s="20"/>
      <c r="E37" s="20">
        <v>215233.61</v>
      </c>
    </row>
    <row r="38" spans="1:5" x14ac:dyDescent="0.3">
      <c r="A38" s="27" t="s">
        <v>329</v>
      </c>
      <c r="B38" s="20">
        <v>9789</v>
      </c>
      <c r="C38" s="20"/>
      <c r="D38" s="20"/>
      <c r="E38" s="20">
        <v>9789</v>
      </c>
    </row>
    <row r="39" spans="1:5" x14ac:dyDescent="0.3">
      <c r="A39" s="27" t="s">
        <v>323</v>
      </c>
      <c r="B39" s="20"/>
      <c r="C39" s="20">
        <v>4800</v>
      </c>
      <c r="D39" s="20"/>
      <c r="E39" s="20">
        <v>4800</v>
      </c>
    </row>
    <row r="40" spans="1:5" x14ac:dyDescent="0.3">
      <c r="A40" s="27" t="s">
        <v>390</v>
      </c>
      <c r="B40" s="20"/>
      <c r="C40" s="20">
        <v>1040656.75</v>
      </c>
      <c r="D40" s="20"/>
      <c r="E40" s="20">
        <v>1040656.75</v>
      </c>
    </row>
    <row r="41" spans="1:5" x14ac:dyDescent="0.3">
      <c r="A41" s="27" t="s">
        <v>320</v>
      </c>
      <c r="B41" s="20"/>
      <c r="C41" s="20">
        <v>285000</v>
      </c>
      <c r="D41" s="20">
        <v>270000</v>
      </c>
      <c r="E41" s="20">
        <v>555000</v>
      </c>
    </row>
    <row r="42" spans="1:5" x14ac:dyDescent="0.3">
      <c r="A42" s="27" t="s">
        <v>321</v>
      </c>
      <c r="B42" s="20"/>
      <c r="C42" s="20">
        <v>1225872.57</v>
      </c>
      <c r="D42" s="20"/>
      <c r="E42" s="20">
        <v>1225872.57</v>
      </c>
    </row>
    <row r="43" spans="1:5" x14ac:dyDescent="0.3">
      <c r="A43" s="27" t="s">
        <v>327</v>
      </c>
      <c r="B43" s="20"/>
      <c r="C43" s="20">
        <v>463000</v>
      </c>
      <c r="D43" s="20"/>
      <c r="E43" s="20">
        <v>463000</v>
      </c>
    </row>
    <row r="44" spans="1:5" x14ac:dyDescent="0.3">
      <c r="A44" s="27" t="s">
        <v>330</v>
      </c>
      <c r="B44" s="20"/>
      <c r="C44" s="20">
        <v>223000</v>
      </c>
      <c r="D44" s="20">
        <v>1683853</v>
      </c>
      <c r="E44" s="20">
        <v>1906853</v>
      </c>
    </row>
    <row r="45" spans="1:5" x14ac:dyDescent="0.3">
      <c r="A45" s="27" t="s">
        <v>318</v>
      </c>
      <c r="B45" s="20"/>
      <c r="C45" s="20">
        <v>780839.44</v>
      </c>
      <c r="D45" s="20"/>
      <c r="E45" s="20">
        <v>780839.44</v>
      </c>
    </row>
    <row r="46" spans="1:5" x14ac:dyDescent="0.3">
      <c r="A46" s="27" t="s">
        <v>109</v>
      </c>
      <c r="B46" s="20"/>
      <c r="C46" s="20">
        <v>669300</v>
      </c>
      <c r="D46" s="20"/>
      <c r="E46" s="20">
        <v>669300</v>
      </c>
    </row>
    <row r="47" spans="1:5" x14ac:dyDescent="0.3">
      <c r="A47" s="23" t="s">
        <v>719</v>
      </c>
      <c r="B47" s="20">
        <v>208384</v>
      </c>
      <c r="C47" s="20">
        <v>21699044.66</v>
      </c>
      <c r="D47" s="20">
        <v>4736934.92</v>
      </c>
      <c r="E47" s="20">
        <v>26644363.579999998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F35FC-095F-440F-8527-E89E4A028A80}">
  <dimension ref="A3:C33"/>
  <sheetViews>
    <sheetView zoomScale="85" zoomScaleNormal="85" workbookViewId="0">
      <selection activeCell="E22" sqref="E22"/>
    </sheetView>
  </sheetViews>
  <sheetFormatPr defaultRowHeight="14.4" x14ac:dyDescent="0.3"/>
  <cols>
    <col min="1" max="1" width="115.44140625" bestFit="1" customWidth="1"/>
    <col min="2" max="2" width="13.88671875" bestFit="1" customWidth="1"/>
    <col min="3" max="4" width="15.21875" bestFit="1" customWidth="1"/>
    <col min="5" max="5" width="43.33203125" bestFit="1" customWidth="1"/>
    <col min="6" max="6" width="25.5546875" bestFit="1" customWidth="1"/>
    <col min="7" max="7" width="23.5546875" bestFit="1" customWidth="1"/>
    <col min="8" max="8" width="23.6640625" bestFit="1" customWidth="1"/>
    <col min="9" max="9" width="35.21875" bestFit="1" customWidth="1"/>
    <col min="10" max="10" width="11.5546875" bestFit="1" customWidth="1"/>
  </cols>
  <sheetData>
    <row r="3" spans="1:3" x14ac:dyDescent="0.3">
      <c r="B3" t="s">
        <v>738</v>
      </c>
      <c r="C3" t="s">
        <v>739</v>
      </c>
    </row>
    <row r="4" spans="1:3" x14ac:dyDescent="0.3">
      <c r="A4" s="23" t="s">
        <v>725</v>
      </c>
      <c r="B4">
        <v>4</v>
      </c>
      <c r="C4" s="20">
        <v>1691592</v>
      </c>
    </row>
    <row r="5" spans="1:3" x14ac:dyDescent="0.3">
      <c r="A5" s="27" t="s">
        <v>2</v>
      </c>
      <c r="B5">
        <v>1</v>
      </c>
      <c r="C5" s="20">
        <v>200000</v>
      </c>
    </row>
    <row r="6" spans="1:3" x14ac:dyDescent="0.3">
      <c r="A6" s="27" t="s">
        <v>4</v>
      </c>
      <c r="B6">
        <v>1</v>
      </c>
      <c r="C6" s="20">
        <v>1180000</v>
      </c>
    </row>
    <row r="7" spans="1:3" x14ac:dyDescent="0.3">
      <c r="A7" s="27" t="s">
        <v>691</v>
      </c>
      <c r="B7">
        <v>1</v>
      </c>
      <c r="C7" s="20">
        <v>42192</v>
      </c>
    </row>
    <row r="8" spans="1:3" x14ac:dyDescent="0.3">
      <c r="A8" s="27" t="s">
        <v>0</v>
      </c>
      <c r="B8">
        <v>1</v>
      </c>
      <c r="C8" s="20">
        <v>269400</v>
      </c>
    </row>
    <row r="9" spans="1:3" x14ac:dyDescent="0.3">
      <c r="A9" s="23" t="s">
        <v>726</v>
      </c>
      <c r="B9">
        <v>2</v>
      </c>
      <c r="C9" s="20">
        <v>24360</v>
      </c>
    </row>
    <row r="10" spans="1:3" x14ac:dyDescent="0.3">
      <c r="A10" s="27" t="s">
        <v>5</v>
      </c>
      <c r="B10">
        <v>1</v>
      </c>
      <c r="C10" s="20">
        <v>8640</v>
      </c>
    </row>
    <row r="11" spans="1:3" x14ac:dyDescent="0.3">
      <c r="A11" s="27" t="s">
        <v>7</v>
      </c>
      <c r="B11">
        <v>1</v>
      </c>
      <c r="C11" s="20">
        <v>15720</v>
      </c>
    </row>
    <row r="12" spans="1:3" x14ac:dyDescent="0.3">
      <c r="A12" s="23" t="s">
        <v>727</v>
      </c>
      <c r="B12">
        <v>4</v>
      </c>
      <c r="C12" s="20">
        <v>3088680</v>
      </c>
    </row>
    <row r="13" spans="1:3" x14ac:dyDescent="0.3">
      <c r="A13" s="27" t="s">
        <v>13</v>
      </c>
      <c r="B13">
        <v>1</v>
      </c>
      <c r="C13" s="20">
        <v>2840000</v>
      </c>
    </row>
    <row r="14" spans="1:3" x14ac:dyDescent="0.3">
      <c r="A14" s="27" t="s">
        <v>11</v>
      </c>
      <c r="B14">
        <v>1</v>
      </c>
      <c r="C14" s="20">
        <v>7680</v>
      </c>
    </row>
    <row r="15" spans="1:3" x14ac:dyDescent="0.3">
      <c r="A15" s="27" t="s">
        <v>9</v>
      </c>
      <c r="B15">
        <v>1</v>
      </c>
      <c r="C15" s="20">
        <v>46000</v>
      </c>
    </row>
    <row r="16" spans="1:3" x14ac:dyDescent="0.3">
      <c r="A16" s="27" t="s">
        <v>15</v>
      </c>
      <c r="B16">
        <v>1</v>
      </c>
      <c r="C16" s="20">
        <v>195000</v>
      </c>
    </row>
    <row r="17" spans="1:3" x14ac:dyDescent="0.3">
      <c r="A17" s="23" t="s">
        <v>728</v>
      </c>
      <c r="B17">
        <v>1</v>
      </c>
      <c r="C17" s="20">
        <v>15534</v>
      </c>
    </row>
    <row r="18" spans="1:3" x14ac:dyDescent="0.3">
      <c r="A18" s="27" t="s">
        <v>693</v>
      </c>
      <c r="B18">
        <v>1</v>
      </c>
      <c r="C18" s="20">
        <v>15534</v>
      </c>
    </row>
    <row r="19" spans="1:3" x14ac:dyDescent="0.3">
      <c r="A19" s="23" t="s">
        <v>729</v>
      </c>
      <c r="B19">
        <v>7</v>
      </c>
      <c r="C19" s="20">
        <v>4744047.4800000004</v>
      </c>
    </row>
    <row r="20" spans="1:3" x14ac:dyDescent="0.3">
      <c r="A20" s="27" t="s">
        <v>694</v>
      </c>
      <c r="B20">
        <v>1</v>
      </c>
      <c r="C20" s="20">
        <v>2234895</v>
      </c>
    </row>
    <row r="21" spans="1:3" x14ac:dyDescent="0.3">
      <c r="A21" s="27" t="s">
        <v>25</v>
      </c>
      <c r="B21">
        <v>1</v>
      </c>
      <c r="C21" s="20">
        <v>2141634.2000000002</v>
      </c>
    </row>
    <row r="22" spans="1:3" x14ac:dyDescent="0.3">
      <c r="A22" s="27" t="s">
        <v>23</v>
      </c>
      <c r="B22">
        <v>1</v>
      </c>
      <c r="C22" s="20">
        <v>58772.87</v>
      </c>
    </row>
    <row r="23" spans="1:3" x14ac:dyDescent="0.3">
      <c r="A23" s="27" t="s">
        <v>18</v>
      </c>
      <c r="B23">
        <v>1</v>
      </c>
      <c r="C23" s="20">
        <v>63200</v>
      </c>
    </row>
    <row r="24" spans="1:3" x14ac:dyDescent="0.3">
      <c r="A24" s="27" t="s">
        <v>695</v>
      </c>
      <c r="B24">
        <v>1</v>
      </c>
      <c r="C24" s="20">
        <v>197000</v>
      </c>
    </row>
    <row r="25" spans="1:3" x14ac:dyDescent="0.3">
      <c r="A25" s="27" t="s">
        <v>27</v>
      </c>
      <c r="B25">
        <v>1</v>
      </c>
      <c r="C25" s="20">
        <v>19333.330000000002</v>
      </c>
    </row>
    <row r="26" spans="1:3" x14ac:dyDescent="0.3">
      <c r="A26" s="27" t="s">
        <v>21</v>
      </c>
      <c r="B26">
        <v>1</v>
      </c>
      <c r="C26" s="20">
        <v>29212.080000000002</v>
      </c>
    </row>
    <row r="27" spans="1:3" x14ac:dyDescent="0.3">
      <c r="A27" s="23" t="s">
        <v>730</v>
      </c>
      <c r="B27">
        <v>1</v>
      </c>
      <c r="C27" s="20">
        <v>77000</v>
      </c>
    </row>
    <row r="28" spans="1:3" x14ac:dyDescent="0.3">
      <c r="A28" s="27" t="s">
        <v>29</v>
      </c>
      <c r="B28">
        <v>1</v>
      </c>
      <c r="C28" s="20">
        <v>77000</v>
      </c>
    </row>
    <row r="29" spans="1:3" x14ac:dyDescent="0.3">
      <c r="A29" s="23" t="s">
        <v>731</v>
      </c>
      <c r="B29">
        <v>3</v>
      </c>
      <c r="C29" s="20">
        <v>237912.19</v>
      </c>
    </row>
    <row r="30" spans="1:3" x14ac:dyDescent="0.3">
      <c r="A30" s="27" t="s">
        <v>25</v>
      </c>
      <c r="B30">
        <v>3</v>
      </c>
      <c r="C30" s="20">
        <v>237912.19</v>
      </c>
    </row>
    <row r="31" spans="1:3" x14ac:dyDescent="0.3">
      <c r="A31" s="23" t="s">
        <v>732</v>
      </c>
      <c r="B31">
        <v>1</v>
      </c>
      <c r="C31" s="20">
        <v>675000</v>
      </c>
    </row>
    <row r="32" spans="1:3" x14ac:dyDescent="0.3">
      <c r="A32" s="27" t="s">
        <v>35</v>
      </c>
      <c r="B32">
        <v>1</v>
      </c>
      <c r="C32" s="20">
        <v>675000</v>
      </c>
    </row>
    <row r="33" spans="1:3" x14ac:dyDescent="0.3">
      <c r="A33" s="23" t="s">
        <v>719</v>
      </c>
      <c r="B33">
        <v>23</v>
      </c>
      <c r="C33" s="20">
        <v>10554125.669999998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69156-B9DB-40EE-AC8E-CF175FC726A0}">
  <dimension ref="A3:D54"/>
  <sheetViews>
    <sheetView zoomScale="80" zoomScaleNormal="80" workbookViewId="0">
      <selection activeCell="C3" sqref="C3"/>
    </sheetView>
  </sheetViews>
  <sheetFormatPr defaultRowHeight="14.4" x14ac:dyDescent="0.3"/>
  <cols>
    <col min="1" max="1" width="56.6640625" bestFit="1" customWidth="1"/>
    <col min="2" max="2" width="12.44140625" bestFit="1" customWidth="1"/>
    <col min="3" max="3" width="16" bestFit="1" customWidth="1"/>
    <col min="4" max="4" width="12.44140625" bestFit="1" customWidth="1"/>
  </cols>
  <sheetData>
    <row r="3" spans="1:4" x14ac:dyDescent="0.3">
      <c r="B3" t="s">
        <v>737</v>
      </c>
      <c r="C3" t="s">
        <v>736</v>
      </c>
      <c r="D3" t="s">
        <v>735</v>
      </c>
    </row>
    <row r="4" spans="1:4" x14ac:dyDescent="0.3">
      <c r="A4" s="23" t="s">
        <v>538</v>
      </c>
      <c r="B4">
        <v>82</v>
      </c>
      <c r="C4" s="20">
        <v>7993496.5599999987</v>
      </c>
      <c r="D4" s="28">
        <v>0.30000703661017969</v>
      </c>
    </row>
    <row r="5" spans="1:4" x14ac:dyDescent="0.3">
      <c r="A5" s="27" t="s">
        <v>408</v>
      </c>
      <c r="B5">
        <v>81</v>
      </c>
      <c r="C5" s="20">
        <v>7723496.5599999987</v>
      </c>
      <c r="D5" s="28">
        <v>0.28987356131851727</v>
      </c>
    </row>
    <row r="6" spans="1:4" x14ac:dyDescent="0.3">
      <c r="A6" s="27" t="s">
        <v>409</v>
      </c>
      <c r="B6">
        <v>1</v>
      </c>
      <c r="C6" s="20">
        <v>270000</v>
      </c>
      <c r="D6" s="28">
        <v>1.0133475291662418E-2</v>
      </c>
    </row>
    <row r="7" spans="1:4" x14ac:dyDescent="0.3">
      <c r="A7" s="23" t="s">
        <v>536</v>
      </c>
      <c r="B7">
        <v>11</v>
      </c>
      <c r="C7" s="20">
        <v>3383896</v>
      </c>
      <c r="D7" s="28">
        <v>0.1270023203909455</v>
      </c>
    </row>
    <row r="8" spans="1:4" x14ac:dyDescent="0.3">
      <c r="A8" s="27" t="s">
        <v>408</v>
      </c>
      <c r="B8">
        <v>5</v>
      </c>
      <c r="C8" s="20">
        <v>1522538</v>
      </c>
      <c r="D8" s="28">
        <v>5.7142967420804124E-2</v>
      </c>
    </row>
    <row r="9" spans="1:4" x14ac:dyDescent="0.3">
      <c r="A9" s="27" t="s">
        <v>409</v>
      </c>
      <c r="B9">
        <v>6</v>
      </c>
      <c r="C9" s="20">
        <v>1861358</v>
      </c>
      <c r="D9" s="28">
        <v>6.9859352970141383E-2</v>
      </c>
    </row>
    <row r="10" spans="1:4" x14ac:dyDescent="0.3">
      <c r="A10" s="23" t="s">
        <v>552</v>
      </c>
      <c r="B10">
        <v>70</v>
      </c>
      <c r="C10" s="20">
        <v>3342223.82</v>
      </c>
      <c r="D10" s="28">
        <v>0.12543830555250213</v>
      </c>
    </row>
    <row r="11" spans="1:4" x14ac:dyDescent="0.3">
      <c r="A11" s="27" t="s">
        <v>408</v>
      </c>
      <c r="B11">
        <v>62</v>
      </c>
      <c r="C11" s="20">
        <v>2997238.92</v>
      </c>
      <c r="D11" s="28">
        <v>0.11249054273714425</v>
      </c>
    </row>
    <row r="12" spans="1:4" x14ac:dyDescent="0.3">
      <c r="A12" s="27" t="s">
        <v>409</v>
      </c>
      <c r="B12">
        <v>8</v>
      </c>
      <c r="C12" s="20">
        <v>344984.9</v>
      </c>
      <c r="D12" s="28">
        <v>1.2947762815357889E-2</v>
      </c>
    </row>
    <row r="13" spans="1:4" x14ac:dyDescent="0.3">
      <c r="A13" s="23" t="s">
        <v>535</v>
      </c>
      <c r="B13">
        <v>9</v>
      </c>
      <c r="C13" s="20">
        <v>2562736.0599999996</v>
      </c>
      <c r="D13" s="28">
        <v>9.618304645578625E-2</v>
      </c>
    </row>
    <row r="14" spans="1:4" x14ac:dyDescent="0.3">
      <c r="A14" s="27" t="s">
        <v>408</v>
      </c>
      <c r="B14">
        <v>8</v>
      </c>
      <c r="C14" s="20">
        <v>2522150.0599999996</v>
      </c>
      <c r="D14" s="28">
        <v>9.4659797462499543E-2</v>
      </c>
    </row>
    <row r="15" spans="1:4" x14ac:dyDescent="0.3">
      <c r="A15" s="27" t="s">
        <v>409</v>
      </c>
      <c r="B15">
        <v>1</v>
      </c>
      <c r="C15" s="20">
        <v>40586</v>
      </c>
      <c r="D15" s="28">
        <v>1.5232489932867068E-3</v>
      </c>
    </row>
    <row r="16" spans="1:4" x14ac:dyDescent="0.3">
      <c r="A16" s="23" t="s">
        <v>554</v>
      </c>
      <c r="B16">
        <v>33</v>
      </c>
      <c r="C16" s="20">
        <v>2489795.87</v>
      </c>
      <c r="D16" s="28">
        <v>9.3445499740474558E-2</v>
      </c>
    </row>
    <row r="17" spans="1:4" x14ac:dyDescent="0.3">
      <c r="A17" s="27" t="s">
        <v>408</v>
      </c>
      <c r="B17">
        <v>33</v>
      </c>
      <c r="C17" s="20">
        <v>2489795.87</v>
      </c>
      <c r="D17" s="28">
        <v>9.3445499740474558E-2</v>
      </c>
    </row>
    <row r="18" spans="1:4" x14ac:dyDescent="0.3">
      <c r="A18" s="23" t="s">
        <v>696</v>
      </c>
      <c r="B18">
        <v>11</v>
      </c>
      <c r="C18" s="20">
        <v>1372915</v>
      </c>
      <c r="D18" s="28">
        <v>5.1527408259454469E-2</v>
      </c>
    </row>
    <row r="19" spans="1:4" x14ac:dyDescent="0.3">
      <c r="A19" s="27" t="s">
        <v>410</v>
      </c>
      <c r="B19">
        <v>4</v>
      </c>
      <c r="C19" s="20">
        <v>172705</v>
      </c>
      <c r="D19" s="28">
        <v>6.4818587046168805E-3</v>
      </c>
    </row>
    <row r="20" spans="1:4" x14ac:dyDescent="0.3">
      <c r="A20" s="27" t="s">
        <v>408</v>
      </c>
      <c r="B20">
        <v>7</v>
      </c>
      <c r="C20" s="20">
        <v>1200210</v>
      </c>
      <c r="D20" s="28">
        <v>4.504554955483759E-2</v>
      </c>
    </row>
    <row r="21" spans="1:4" x14ac:dyDescent="0.3">
      <c r="A21" s="23" t="s">
        <v>560</v>
      </c>
      <c r="B21">
        <v>14</v>
      </c>
      <c r="C21" s="20">
        <v>1084451.3</v>
      </c>
      <c r="D21" s="28">
        <v>4.0700964642819214E-2</v>
      </c>
    </row>
    <row r="22" spans="1:4" x14ac:dyDescent="0.3">
      <c r="A22" s="27" t="s">
        <v>410</v>
      </c>
      <c r="B22">
        <v>2</v>
      </c>
      <c r="C22" s="20">
        <v>35679</v>
      </c>
      <c r="D22" s="28">
        <v>1.3390824627082347E-3</v>
      </c>
    </row>
    <row r="23" spans="1:4" x14ac:dyDescent="0.3">
      <c r="A23" s="27" t="s">
        <v>408</v>
      </c>
      <c r="B23">
        <v>4</v>
      </c>
      <c r="C23" s="20">
        <v>310226.28000000003</v>
      </c>
      <c r="D23" s="28">
        <v>1.1643223493349434E-2</v>
      </c>
    </row>
    <row r="24" spans="1:4" x14ac:dyDescent="0.3">
      <c r="A24" s="27" t="s">
        <v>409</v>
      </c>
      <c r="B24">
        <v>8</v>
      </c>
      <c r="C24" s="20">
        <v>738546.02</v>
      </c>
      <c r="D24" s="28">
        <v>2.7718658686761547E-2</v>
      </c>
    </row>
    <row r="25" spans="1:4" x14ac:dyDescent="0.3">
      <c r="A25" s="23" t="s">
        <v>551</v>
      </c>
      <c r="B25">
        <v>2</v>
      </c>
      <c r="C25" s="20">
        <v>1003853</v>
      </c>
      <c r="D25" s="28">
        <v>3.7675998414671084E-2</v>
      </c>
    </row>
    <row r="26" spans="1:4" x14ac:dyDescent="0.3">
      <c r="A26" s="27" t="s">
        <v>409</v>
      </c>
      <c r="B26">
        <v>2</v>
      </c>
      <c r="C26" s="20">
        <v>1003853</v>
      </c>
      <c r="D26" s="28">
        <v>3.7675998414671084E-2</v>
      </c>
    </row>
    <row r="27" spans="1:4" x14ac:dyDescent="0.3">
      <c r="A27" s="23" t="s">
        <v>542</v>
      </c>
      <c r="B27">
        <v>5</v>
      </c>
      <c r="C27" s="20">
        <v>836600</v>
      </c>
      <c r="D27" s="28">
        <v>3.1398760848165848E-2</v>
      </c>
    </row>
    <row r="28" spans="1:4" x14ac:dyDescent="0.3">
      <c r="A28" s="27" t="s">
        <v>408</v>
      </c>
      <c r="B28">
        <v>3</v>
      </c>
      <c r="C28" s="20">
        <v>825000</v>
      </c>
      <c r="D28" s="28">
        <v>3.0963396724524053E-2</v>
      </c>
    </row>
    <row r="29" spans="1:4" x14ac:dyDescent="0.3">
      <c r="A29" s="27" t="s">
        <v>409</v>
      </c>
      <c r="B29">
        <v>2</v>
      </c>
      <c r="C29" s="20">
        <v>11600</v>
      </c>
      <c r="D29" s="28">
        <v>4.3536412364179276E-4</v>
      </c>
    </row>
    <row r="30" spans="1:4" x14ac:dyDescent="0.3">
      <c r="A30" s="23" t="s">
        <v>546</v>
      </c>
      <c r="B30">
        <v>9</v>
      </c>
      <c r="C30" s="20">
        <v>624210.35</v>
      </c>
      <c r="D30" s="28">
        <v>2.3427482068610922E-2</v>
      </c>
    </row>
    <row r="31" spans="1:4" x14ac:dyDescent="0.3">
      <c r="A31" s="27" t="s">
        <v>408</v>
      </c>
      <c r="B31">
        <v>8</v>
      </c>
      <c r="C31" s="20">
        <v>523203.35</v>
      </c>
      <c r="D31" s="28">
        <v>1.9636548962000011E-2</v>
      </c>
    </row>
    <row r="32" spans="1:4" x14ac:dyDescent="0.3">
      <c r="A32" s="27" t="s">
        <v>409</v>
      </c>
      <c r="B32">
        <v>1</v>
      </c>
      <c r="C32" s="20">
        <v>101007</v>
      </c>
      <c r="D32" s="28">
        <v>3.79093310661091E-3</v>
      </c>
    </row>
    <row r="33" spans="1:4" x14ac:dyDescent="0.3">
      <c r="A33" s="23" t="s">
        <v>561</v>
      </c>
      <c r="B33">
        <v>4</v>
      </c>
      <c r="C33" s="20">
        <v>420000</v>
      </c>
      <c r="D33" s="28">
        <v>1.5763183787030427E-2</v>
      </c>
    </row>
    <row r="34" spans="1:4" x14ac:dyDescent="0.3">
      <c r="A34" s="27" t="s">
        <v>408</v>
      </c>
      <c r="B34">
        <v>2</v>
      </c>
      <c r="C34" s="20">
        <v>55000</v>
      </c>
      <c r="D34" s="28">
        <v>2.0642264483016035E-3</v>
      </c>
    </row>
    <row r="35" spans="1:4" x14ac:dyDescent="0.3">
      <c r="A35" s="27" t="s">
        <v>409</v>
      </c>
      <c r="B35">
        <v>2</v>
      </c>
      <c r="C35" s="20">
        <v>365000</v>
      </c>
      <c r="D35" s="28">
        <v>1.3698957338728822E-2</v>
      </c>
    </row>
    <row r="36" spans="1:4" x14ac:dyDescent="0.3">
      <c r="A36" s="23" t="s">
        <v>534</v>
      </c>
      <c r="B36">
        <v>4</v>
      </c>
      <c r="C36" s="20">
        <v>408100</v>
      </c>
      <c r="D36" s="28">
        <v>1.5316560246397899E-2</v>
      </c>
    </row>
    <row r="37" spans="1:4" x14ac:dyDescent="0.3">
      <c r="A37" s="27" t="s">
        <v>408</v>
      </c>
      <c r="B37">
        <v>4</v>
      </c>
      <c r="C37" s="20">
        <v>408100</v>
      </c>
      <c r="D37" s="28">
        <v>1.5316560246397899E-2</v>
      </c>
    </row>
    <row r="38" spans="1:4" x14ac:dyDescent="0.3">
      <c r="A38" s="23" t="s">
        <v>548</v>
      </c>
      <c r="B38">
        <v>3</v>
      </c>
      <c r="C38" s="20">
        <v>350230</v>
      </c>
      <c r="D38" s="28">
        <v>1.314461870888492E-2</v>
      </c>
    </row>
    <row r="39" spans="1:4" x14ac:dyDescent="0.3">
      <c r="A39" s="27" t="s">
        <v>408</v>
      </c>
      <c r="B39">
        <v>3</v>
      </c>
      <c r="C39" s="20">
        <v>350230</v>
      </c>
      <c r="D39" s="28">
        <v>1.314461870888492E-2</v>
      </c>
    </row>
    <row r="40" spans="1:4" x14ac:dyDescent="0.3">
      <c r="A40" s="23" t="s">
        <v>543</v>
      </c>
      <c r="B40">
        <v>30</v>
      </c>
      <c r="C40" s="20">
        <v>306000</v>
      </c>
      <c r="D40" s="28">
        <v>1.148460533055074E-2</v>
      </c>
    </row>
    <row r="41" spans="1:4" x14ac:dyDescent="0.3">
      <c r="A41" s="27" t="s">
        <v>408</v>
      </c>
      <c r="B41">
        <v>30</v>
      </c>
      <c r="C41" s="20">
        <v>306000</v>
      </c>
      <c r="D41" s="28">
        <v>1.148460533055074E-2</v>
      </c>
    </row>
    <row r="42" spans="1:4" x14ac:dyDescent="0.3">
      <c r="A42" s="23" t="s">
        <v>541</v>
      </c>
      <c r="B42">
        <v>4</v>
      </c>
      <c r="C42" s="20">
        <v>266573.05</v>
      </c>
      <c r="D42" s="28">
        <v>1.000485709480774E-2</v>
      </c>
    </row>
    <row r="43" spans="1:4" x14ac:dyDescent="0.3">
      <c r="A43" s="27" t="s">
        <v>408</v>
      </c>
      <c r="B43">
        <v>4</v>
      </c>
      <c r="C43" s="20">
        <v>266573.05</v>
      </c>
      <c r="D43" s="28">
        <v>1.000485709480774E-2</v>
      </c>
    </row>
    <row r="44" spans="1:4" x14ac:dyDescent="0.3">
      <c r="A44" s="23" t="s">
        <v>559</v>
      </c>
      <c r="B44">
        <v>1</v>
      </c>
      <c r="C44" s="20">
        <v>92000</v>
      </c>
      <c r="D44" s="28">
        <v>3.4528878771590459E-3</v>
      </c>
    </row>
    <row r="45" spans="1:4" x14ac:dyDescent="0.3">
      <c r="A45" s="27" t="s">
        <v>408</v>
      </c>
      <c r="B45">
        <v>1</v>
      </c>
      <c r="C45" s="20">
        <v>92000</v>
      </c>
      <c r="D45" s="28">
        <v>3.4528878771590459E-3</v>
      </c>
    </row>
    <row r="46" spans="1:4" x14ac:dyDescent="0.3">
      <c r="A46" s="23" t="s">
        <v>553</v>
      </c>
      <c r="B46">
        <v>1</v>
      </c>
      <c r="C46" s="20">
        <v>58800</v>
      </c>
      <c r="D46" s="28">
        <v>2.2068457301842597E-3</v>
      </c>
    </row>
    <row r="47" spans="1:4" x14ac:dyDescent="0.3">
      <c r="A47" s="27" t="s">
        <v>408</v>
      </c>
      <c r="B47">
        <v>1</v>
      </c>
      <c r="C47" s="20">
        <v>58800</v>
      </c>
      <c r="D47" s="28">
        <v>2.2068457301842597E-3</v>
      </c>
    </row>
    <row r="48" spans="1:4" x14ac:dyDescent="0.3">
      <c r="A48" s="23" t="s">
        <v>540</v>
      </c>
      <c r="B48">
        <v>1</v>
      </c>
      <c r="C48" s="20">
        <v>35000</v>
      </c>
      <c r="D48" s="28">
        <v>1.3135986489192022E-3</v>
      </c>
    </row>
    <row r="49" spans="1:4" x14ac:dyDescent="0.3">
      <c r="A49" s="27" t="s">
        <v>408</v>
      </c>
      <c r="B49">
        <v>1</v>
      </c>
      <c r="C49" s="20">
        <v>35000</v>
      </c>
      <c r="D49" s="28">
        <v>1.3135986489192022E-3</v>
      </c>
    </row>
    <row r="50" spans="1:4" x14ac:dyDescent="0.3">
      <c r="A50" s="23" t="s">
        <v>539</v>
      </c>
      <c r="B50">
        <v>3</v>
      </c>
      <c r="C50" s="20">
        <v>10782.57</v>
      </c>
      <c r="D50" s="28">
        <v>4.0468483953933491E-4</v>
      </c>
    </row>
    <row r="51" spans="1:4" x14ac:dyDescent="0.3">
      <c r="A51" s="27" t="s">
        <v>408</v>
      </c>
      <c r="B51">
        <v>3</v>
      </c>
      <c r="C51" s="20">
        <v>10782.57</v>
      </c>
      <c r="D51" s="28">
        <v>4.0468483953933491E-4</v>
      </c>
    </row>
    <row r="52" spans="1:4" x14ac:dyDescent="0.3">
      <c r="A52" s="23" t="s">
        <v>562</v>
      </c>
      <c r="B52">
        <v>2</v>
      </c>
      <c r="C52" s="20">
        <v>2700</v>
      </c>
      <c r="D52" s="28">
        <v>1.0133475291662416E-4</v>
      </c>
    </row>
    <row r="53" spans="1:4" x14ac:dyDescent="0.3">
      <c r="A53" s="27" t="s">
        <v>408</v>
      </c>
      <c r="B53">
        <v>2</v>
      </c>
      <c r="C53" s="20">
        <v>2700</v>
      </c>
      <c r="D53" s="28">
        <v>1.0133475291662416E-4</v>
      </c>
    </row>
    <row r="54" spans="1:4" x14ac:dyDescent="0.3">
      <c r="A54" s="23" t="s">
        <v>719</v>
      </c>
      <c r="B54">
        <v>299</v>
      </c>
      <c r="C54" s="20">
        <v>26644363.580000002</v>
      </c>
      <c r="D54" s="28">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4DC2E-DED6-48AA-85A9-4887522DB536}">
  <dimension ref="A1:B8"/>
  <sheetViews>
    <sheetView workbookViewId="0">
      <selection activeCell="G19" sqref="G19"/>
    </sheetView>
  </sheetViews>
  <sheetFormatPr defaultRowHeight="14.4" x14ac:dyDescent="0.3"/>
  <cols>
    <col min="1" max="1" width="18.44140625" bestFit="1" customWidth="1"/>
    <col min="2" max="2" width="8.109375" bestFit="1" customWidth="1"/>
  </cols>
  <sheetData>
    <row r="1" spans="1:2" x14ac:dyDescent="0.3">
      <c r="A1" s="22" t="s">
        <v>375</v>
      </c>
      <c r="B1" t="s">
        <v>721</v>
      </c>
    </row>
    <row r="2" spans="1:2" x14ac:dyDescent="0.3">
      <c r="A2" s="22" t="s">
        <v>372</v>
      </c>
      <c r="B2" t="s">
        <v>721</v>
      </c>
    </row>
    <row r="4" spans="1:2" x14ac:dyDescent="0.3">
      <c r="A4" s="22" t="s">
        <v>720</v>
      </c>
      <c r="B4" t="s">
        <v>740</v>
      </c>
    </row>
    <row r="5" spans="1:2" x14ac:dyDescent="0.3">
      <c r="A5" s="23" t="s">
        <v>410</v>
      </c>
      <c r="B5" s="28">
        <v>7.820941167325117E-3</v>
      </c>
    </row>
    <row r="6" spans="1:2" x14ac:dyDescent="0.3">
      <c r="A6" s="23" t="s">
        <v>408</v>
      </c>
      <c r="B6" s="28">
        <v>0.8143953070918124</v>
      </c>
    </row>
    <row r="7" spans="1:2" x14ac:dyDescent="0.3">
      <c r="A7" s="23" t="s">
        <v>409</v>
      </c>
      <c r="B7" s="28">
        <v>0.17778375174086256</v>
      </c>
    </row>
    <row r="8" spans="1:2" x14ac:dyDescent="0.3">
      <c r="A8" s="23" t="s">
        <v>719</v>
      </c>
      <c r="B8" s="28">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D11C0-15B7-4016-B79D-C882A54F7C71}">
  <dimension ref="A3:E25"/>
  <sheetViews>
    <sheetView workbookViewId="0">
      <selection activeCell="P11" sqref="P11"/>
    </sheetView>
  </sheetViews>
  <sheetFormatPr defaultRowHeight="14.4" x14ac:dyDescent="0.3"/>
  <cols>
    <col min="1" max="1" width="50.77734375" bestFit="1" customWidth="1"/>
    <col min="2" max="2" width="15.5546875" bestFit="1" customWidth="1"/>
    <col min="3" max="3" width="15.88671875" bestFit="1" customWidth="1"/>
    <col min="4" max="4" width="8.33203125" bestFit="1" customWidth="1"/>
    <col min="5" max="5" width="10.5546875" bestFit="1" customWidth="1"/>
  </cols>
  <sheetData>
    <row r="3" spans="1:5" x14ac:dyDescent="0.3">
      <c r="A3" s="22" t="s">
        <v>717</v>
      </c>
      <c r="B3" s="22" t="s">
        <v>718</v>
      </c>
    </row>
    <row r="4" spans="1:5" x14ac:dyDescent="0.3">
      <c r="A4" s="22" t="s">
        <v>720</v>
      </c>
      <c r="B4" t="s">
        <v>410</v>
      </c>
      <c r="C4" t="s">
        <v>408</v>
      </c>
      <c r="D4" t="s">
        <v>409</v>
      </c>
      <c r="E4" t="s">
        <v>719</v>
      </c>
    </row>
    <row r="5" spans="1:5" x14ac:dyDescent="0.3">
      <c r="A5" s="23" t="s">
        <v>562</v>
      </c>
      <c r="B5" s="28">
        <v>0</v>
      </c>
      <c r="C5" s="28">
        <v>1.0133475291662416E-4</v>
      </c>
      <c r="D5" s="28">
        <v>0</v>
      </c>
      <c r="E5" s="28">
        <v>1.0133475291662416E-4</v>
      </c>
    </row>
    <row r="6" spans="1:5" x14ac:dyDescent="0.3">
      <c r="A6" s="23" t="s">
        <v>539</v>
      </c>
      <c r="B6" s="28">
        <v>0</v>
      </c>
      <c r="C6" s="28">
        <v>4.0468483953933491E-4</v>
      </c>
      <c r="D6" s="28">
        <v>0</v>
      </c>
      <c r="E6" s="28">
        <v>4.0468483953933491E-4</v>
      </c>
    </row>
    <row r="7" spans="1:5" x14ac:dyDescent="0.3">
      <c r="A7" s="23" t="s">
        <v>540</v>
      </c>
      <c r="B7" s="28">
        <v>0</v>
      </c>
      <c r="C7" s="28">
        <v>1.3135986489192022E-3</v>
      </c>
      <c r="D7" s="28">
        <v>0</v>
      </c>
      <c r="E7" s="28">
        <v>1.3135986489192022E-3</v>
      </c>
    </row>
    <row r="8" spans="1:5" x14ac:dyDescent="0.3">
      <c r="A8" s="23" t="s">
        <v>553</v>
      </c>
      <c r="B8" s="28">
        <v>0</v>
      </c>
      <c r="C8" s="28">
        <v>2.2068457301842597E-3</v>
      </c>
      <c r="D8" s="28">
        <v>0</v>
      </c>
      <c r="E8" s="28">
        <v>2.2068457301842597E-3</v>
      </c>
    </row>
    <row r="9" spans="1:5" x14ac:dyDescent="0.3">
      <c r="A9" s="23" t="s">
        <v>559</v>
      </c>
      <c r="B9" s="28">
        <v>0</v>
      </c>
      <c r="C9" s="28">
        <v>3.4528878771590459E-3</v>
      </c>
      <c r="D9" s="28">
        <v>0</v>
      </c>
      <c r="E9" s="28">
        <v>3.4528878771590459E-3</v>
      </c>
    </row>
    <row r="10" spans="1:5" x14ac:dyDescent="0.3">
      <c r="A10" s="23" t="s">
        <v>541</v>
      </c>
      <c r="B10" s="28">
        <v>0</v>
      </c>
      <c r="C10" s="28">
        <v>1.000485709480774E-2</v>
      </c>
      <c r="D10" s="28">
        <v>0</v>
      </c>
      <c r="E10" s="28">
        <v>1.000485709480774E-2</v>
      </c>
    </row>
    <row r="11" spans="1:5" x14ac:dyDescent="0.3">
      <c r="A11" s="23" t="s">
        <v>543</v>
      </c>
      <c r="B11" s="28">
        <v>0</v>
      </c>
      <c r="C11" s="28">
        <v>1.148460533055074E-2</v>
      </c>
      <c r="D11" s="28">
        <v>0</v>
      </c>
      <c r="E11" s="28">
        <v>1.148460533055074E-2</v>
      </c>
    </row>
    <row r="12" spans="1:5" x14ac:dyDescent="0.3">
      <c r="A12" s="23" t="s">
        <v>548</v>
      </c>
      <c r="B12" s="28">
        <v>0</v>
      </c>
      <c r="C12" s="28">
        <v>1.314461870888492E-2</v>
      </c>
      <c r="D12" s="28">
        <v>0</v>
      </c>
      <c r="E12" s="28">
        <v>1.314461870888492E-2</v>
      </c>
    </row>
    <row r="13" spans="1:5" x14ac:dyDescent="0.3">
      <c r="A13" s="23" t="s">
        <v>534</v>
      </c>
      <c r="B13" s="28">
        <v>0</v>
      </c>
      <c r="C13" s="28">
        <v>1.5316560246397899E-2</v>
      </c>
      <c r="D13" s="28">
        <v>0</v>
      </c>
      <c r="E13" s="28">
        <v>1.5316560246397899E-2</v>
      </c>
    </row>
    <row r="14" spans="1:5" x14ac:dyDescent="0.3">
      <c r="A14" s="23" t="s">
        <v>561</v>
      </c>
      <c r="B14" s="28">
        <v>0</v>
      </c>
      <c r="C14" s="28">
        <v>2.0642264483016035E-3</v>
      </c>
      <c r="D14" s="28">
        <v>1.3698957338728822E-2</v>
      </c>
      <c r="E14" s="28">
        <v>1.5763183787030427E-2</v>
      </c>
    </row>
    <row r="15" spans="1:5" x14ac:dyDescent="0.3">
      <c r="A15" s="23" t="s">
        <v>546</v>
      </c>
      <c r="B15" s="28">
        <v>0</v>
      </c>
      <c r="C15" s="28">
        <v>1.9636548962000011E-2</v>
      </c>
      <c r="D15" s="28">
        <v>3.79093310661091E-3</v>
      </c>
      <c r="E15" s="28">
        <v>2.3427482068610922E-2</v>
      </c>
    </row>
    <row r="16" spans="1:5" x14ac:dyDescent="0.3">
      <c r="A16" s="23" t="s">
        <v>542</v>
      </c>
      <c r="B16" s="28">
        <v>0</v>
      </c>
      <c r="C16" s="28">
        <v>3.0963396724524053E-2</v>
      </c>
      <c r="D16" s="28">
        <v>4.3536412364179276E-4</v>
      </c>
      <c r="E16" s="28">
        <v>3.1398760848165848E-2</v>
      </c>
    </row>
    <row r="17" spans="1:5" x14ac:dyDescent="0.3">
      <c r="A17" s="23" t="s">
        <v>551</v>
      </c>
      <c r="B17" s="28">
        <v>0</v>
      </c>
      <c r="C17" s="28">
        <v>0</v>
      </c>
      <c r="D17" s="28">
        <v>3.7675998414671084E-2</v>
      </c>
      <c r="E17" s="28">
        <v>3.7675998414671084E-2</v>
      </c>
    </row>
    <row r="18" spans="1:5" x14ac:dyDescent="0.3">
      <c r="A18" s="23" t="s">
        <v>560</v>
      </c>
      <c r="B18" s="28">
        <v>1.3390824627082347E-3</v>
      </c>
      <c r="C18" s="28">
        <v>1.1643223493349434E-2</v>
      </c>
      <c r="D18" s="28">
        <v>2.7718658686761547E-2</v>
      </c>
      <c r="E18" s="28">
        <v>4.0700964642819214E-2</v>
      </c>
    </row>
    <row r="19" spans="1:5" x14ac:dyDescent="0.3">
      <c r="A19" s="23" t="s">
        <v>696</v>
      </c>
      <c r="B19" s="28">
        <v>6.4818587046168805E-3</v>
      </c>
      <c r="C19" s="28">
        <v>4.504554955483759E-2</v>
      </c>
      <c r="D19" s="28">
        <v>0</v>
      </c>
      <c r="E19" s="28">
        <v>5.1527408259454469E-2</v>
      </c>
    </row>
    <row r="20" spans="1:5" x14ac:dyDescent="0.3">
      <c r="A20" s="23" t="s">
        <v>554</v>
      </c>
      <c r="B20" s="28">
        <v>0</v>
      </c>
      <c r="C20" s="28">
        <v>9.3445499740474558E-2</v>
      </c>
      <c r="D20" s="28">
        <v>0</v>
      </c>
      <c r="E20" s="28">
        <v>9.3445499740474558E-2</v>
      </c>
    </row>
    <row r="21" spans="1:5" x14ac:dyDescent="0.3">
      <c r="A21" s="23" t="s">
        <v>535</v>
      </c>
      <c r="B21" s="28">
        <v>0</v>
      </c>
      <c r="C21" s="28">
        <v>9.4659797462499543E-2</v>
      </c>
      <c r="D21" s="28">
        <v>1.5232489932867068E-3</v>
      </c>
      <c r="E21" s="28">
        <v>9.618304645578625E-2</v>
      </c>
    </row>
    <row r="22" spans="1:5" x14ac:dyDescent="0.3">
      <c r="A22" s="23" t="s">
        <v>552</v>
      </c>
      <c r="B22" s="28">
        <v>0</v>
      </c>
      <c r="C22" s="28">
        <v>0.11249054273714425</v>
      </c>
      <c r="D22" s="28">
        <v>1.2947762815357889E-2</v>
      </c>
      <c r="E22" s="28">
        <v>0.12543830555250213</v>
      </c>
    </row>
    <row r="23" spans="1:5" x14ac:dyDescent="0.3">
      <c r="A23" s="23" t="s">
        <v>536</v>
      </c>
      <c r="B23" s="28">
        <v>0</v>
      </c>
      <c r="C23" s="28">
        <v>5.7142967420804124E-2</v>
      </c>
      <c r="D23" s="28">
        <v>6.9859352970141383E-2</v>
      </c>
      <c r="E23" s="28">
        <v>0.1270023203909455</v>
      </c>
    </row>
    <row r="24" spans="1:5" x14ac:dyDescent="0.3">
      <c r="A24" s="23" t="s">
        <v>538</v>
      </c>
      <c r="B24" s="28">
        <v>0</v>
      </c>
      <c r="C24" s="28">
        <v>0.28987356131851727</v>
      </c>
      <c r="D24" s="28">
        <v>1.0133475291662418E-2</v>
      </c>
      <c r="E24" s="28">
        <v>0.30000703661017969</v>
      </c>
    </row>
    <row r="25" spans="1:5" x14ac:dyDescent="0.3">
      <c r="A25" s="23" t="s">
        <v>719</v>
      </c>
      <c r="B25" s="28">
        <v>7.8209411673251152E-3</v>
      </c>
      <c r="C25" s="28">
        <v>0.81439530709181229</v>
      </c>
      <c r="D25" s="28">
        <v>0.17778375174086256</v>
      </c>
      <c r="E25" s="28">
        <v>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BAB61-EF50-4E22-B8A4-FF1BC5A77E10}">
  <dimension ref="A1:B15"/>
  <sheetViews>
    <sheetView zoomScale="122" zoomScaleNormal="122" workbookViewId="0">
      <selection activeCell="B21" sqref="B21"/>
    </sheetView>
  </sheetViews>
  <sheetFormatPr defaultRowHeight="14.4" x14ac:dyDescent="0.3"/>
  <cols>
    <col min="1" max="1" width="50.77734375" bestFit="1" customWidth="1"/>
    <col min="2" max="2" width="18.109375" bestFit="1" customWidth="1"/>
    <col min="3" max="3" width="16.88671875" bestFit="1" customWidth="1"/>
    <col min="4" max="4" width="10.5546875" bestFit="1" customWidth="1"/>
    <col min="5" max="5" width="11.5546875" bestFit="1" customWidth="1"/>
  </cols>
  <sheetData>
    <row r="1" spans="1:2" x14ac:dyDescent="0.3">
      <c r="A1" s="22" t="s">
        <v>373</v>
      </c>
      <c r="B1" t="s">
        <v>721</v>
      </c>
    </row>
    <row r="2" spans="1:2" x14ac:dyDescent="0.3">
      <c r="A2" s="22" t="s">
        <v>374</v>
      </c>
      <c r="B2" t="s">
        <v>721</v>
      </c>
    </row>
    <row r="4" spans="1:2" x14ac:dyDescent="0.3">
      <c r="A4" s="22" t="s">
        <v>720</v>
      </c>
      <c r="B4" t="s">
        <v>734</v>
      </c>
    </row>
    <row r="5" spans="1:2" x14ac:dyDescent="0.3">
      <c r="A5" s="23" t="s">
        <v>542</v>
      </c>
      <c r="B5">
        <v>5</v>
      </c>
    </row>
    <row r="6" spans="1:2" x14ac:dyDescent="0.3">
      <c r="A6" s="23" t="s">
        <v>535</v>
      </c>
      <c r="B6">
        <v>9</v>
      </c>
    </row>
    <row r="7" spans="1:2" x14ac:dyDescent="0.3">
      <c r="A7" s="23" t="s">
        <v>546</v>
      </c>
      <c r="B7">
        <v>9</v>
      </c>
    </row>
    <row r="8" spans="1:2" x14ac:dyDescent="0.3">
      <c r="A8" s="23" t="s">
        <v>696</v>
      </c>
      <c r="B8">
        <v>11</v>
      </c>
    </row>
    <row r="9" spans="1:2" x14ac:dyDescent="0.3">
      <c r="A9" s="23" t="s">
        <v>536</v>
      </c>
      <c r="B9">
        <v>11</v>
      </c>
    </row>
    <row r="10" spans="1:2" x14ac:dyDescent="0.3">
      <c r="A10" s="23" t="s">
        <v>560</v>
      </c>
      <c r="B10">
        <v>14</v>
      </c>
    </row>
    <row r="11" spans="1:2" x14ac:dyDescent="0.3">
      <c r="A11" s="23" t="s">
        <v>543</v>
      </c>
      <c r="B11">
        <v>30</v>
      </c>
    </row>
    <row r="12" spans="1:2" x14ac:dyDescent="0.3">
      <c r="A12" s="23" t="s">
        <v>554</v>
      </c>
      <c r="B12">
        <v>33</v>
      </c>
    </row>
    <row r="13" spans="1:2" x14ac:dyDescent="0.3">
      <c r="A13" s="23" t="s">
        <v>552</v>
      </c>
      <c r="B13">
        <v>70</v>
      </c>
    </row>
    <row r="14" spans="1:2" x14ac:dyDescent="0.3">
      <c r="A14" s="23" t="s">
        <v>538</v>
      </c>
      <c r="B14">
        <v>82</v>
      </c>
    </row>
    <row r="15" spans="1:2" x14ac:dyDescent="0.3">
      <c r="A15" s="23" t="s">
        <v>719</v>
      </c>
      <c r="B15">
        <v>274</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0DD98-73C8-40D4-975B-550BC5EDA438}">
  <dimension ref="A1:B10"/>
  <sheetViews>
    <sheetView tabSelected="1" workbookViewId="0">
      <selection activeCell="F19" sqref="F19"/>
    </sheetView>
  </sheetViews>
  <sheetFormatPr defaultRowHeight="14.4" x14ac:dyDescent="0.3"/>
  <cols>
    <col min="1" max="1" width="12.44140625" bestFit="1" customWidth="1"/>
    <col min="2" max="2" width="17.88671875" bestFit="1" customWidth="1"/>
    <col min="3" max="3" width="8.5546875" bestFit="1" customWidth="1"/>
    <col min="4" max="4" width="10.5546875" bestFit="1" customWidth="1"/>
    <col min="5" max="5" width="8.5546875" bestFit="1" customWidth="1"/>
    <col min="6" max="6" width="10.5546875" bestFit="1" customWidth="1"/>
    <col min="7" max="7" width="8.5546875" bestFit="1" customWidth="1"/>
    <col min="8" max="9" width="9.5546875" bestFit="1" customWidth="1"/>
    <col min="10" max="10" width="11.5546875" bestFit="1" customWidth="1"/>
  </cols>
  <sheetData>
    <row r="1" spans="1:2" x14ac:dyDescent="0.3">
      <c r="A1" s="22" t="s">
        <v>720</v>
      </c>
      <c r="B1" t="s">
        <v>724</v>
      </c>
    </row>
    <row r="2" spans="1:2" x14ac:dyDescent="0.3">
      <c r="A2" s="23" t="s">
        <v>725</v>
      </c>
      <c r="B2">
        <v>4</v>
      </c>
    </row>
    <row r="3" spans="1:2" x14ac:dyDescent="0.3">
      <c r="A3" s="23" t="s">
        <v>726</v>
      </c>
      <c r="B3">
        <v>2</v>
      </c>
    </row>
    <row r="4" spans="1:2" x14ac:dyDescent="0.3">
      <c r="A4" s="23" t="s">
        <v>727</v>
      </c>
      <c r="B4">
        <v>4</v>
      </c>
    </row>
    <row r="5" spans="1:2" x14ac:dyDescent="0.3">
      <c r="A5" s="23" t="s">
        <v>728</v>
      </c>
      <c r="B5">
        <v>1</v>
      </c>
    </row>
    <row r="6" spans="1:2" x14ac:dyDescent="0.3">
      <c r="A6" s="23" t="s">
        <v>729</v>
      </c>
      <c r="B6">
        <v>7</v>
      </c>
    </row>
    <row r="7" spans="1:2" x14ac:dyDescent="0.3">
      <c r="A7" s="23" t="s">
        <v>730</v>
      </c>
      <c r="B7">
        <v>1</v>
      </c>
    </row>
    <row r="8" spans="1:2" x14ac:dyDescent="0.3">
      <c r="A8" s="23" t="s">
        <v>731</v>
      </c>
      <c r="B8">
        <v>3</v>
      </c>
    </row>
    <row r="9" spans="1:2" x14ac:dyDescent="0.3">
      <c r="A9" s="23" t="s">
        <v>732</v>
      </c>
      <c r="B9">
        <v>1</v>
      </c>
    </row>
    <row r="10" spans="1:2" x14ac:dyDescent="0.3">
      <c r="A10" s="23" t="s">
        <v>719</v>
      </c>
      <c r="B10">
        <v>23</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D0D6F-87CD-413B-8554-3E034FDCAED3}">
  <dimension ref="A3:C24"/>
  <sheetViews>
    <sheetView workbookViewId="0">
      <selection activeCell="B4" sqref="B4"/>
    </sheetView>
  </sheetViews>
  <sheetFormatPr defaultRowHeight="14.4" x14ac:dyDescent="0.3"/>
  <cols>
    <col min="1" max="1" width="50.77734375" bestFit="1" customWidth="1"/>
    <col min="2" max="2" width="15.109375" bestFit="1" customWidth="1"/>
    <col min="3" max="3" width="12.21875" bestFit="1" customWidth="1"/>
  </cols>
  <sheetData>
    <row r="3" spans="1:3" x14ac:dyDescent="0.3">
      <c r="A3" s="22" t="s">
        <v>720</v>
      </c>
      <c r="B3" t="s">
        <v>739</v>
      </c>
      <c r="C3" t="s">
        <v>737</v>
      </c>
    </row>
    <row r="4" spans="1:3" x14ac:dyDescent="0.3">
      <c r="A4" s="23" t="s">
        <v>562</v>
      </c>
      <c r="B4" s="20">
        <v>2700</v>
      </c>
      <c r="C4" s="29">
        <v>2</v>
      </c>
    </row>
    <row r="5" spans="1:3" x14ac:dyDescent="0.3">
      <c r="A5" s="23" t="s">
        <v>539</v>
      </c>
      <c r="B5" s="20">
        <v>10782.57</v>
      </c>
      <c r="C5" s="29">
        <v>3</v>
      </c>
    </row>
    <row r="6" spans="1:3" x14ac:dyDescent="0.3">
      <c r="A6" s="23" t="s">
        <v>540</v>
      </c>
      <c r="B6" s="20">
        <v>35000</v>
      </c>
      <c r="C6" s="29">
        <v>1</v>
      </c>
    </row>
    <row r="7" spans="1:3" x14ac:dyDescent="0.3">
      <c r="A7" s="23" t="s">
        <v>553</v>
      </c>
      <c r="B7" s="20">
        <v>58800</v>
      </c>
      <c r="C7" s="29">
        <v>1</v>
      </c>
    </row>
    <row r="8" spans="1:3" x14ac:dyDescent="0.3">
      <c r="A8" s="23" t="s">
        <v>559</v>
      </c>
      <c r="B8" s="20">
        <v>92000</v>
      </c>
      <c r="C8" s="29">
        <v>1</v>
      </c>
    </row>
    <row r="9" spans="1:3" x14ac:dyDescent="0.3">
      <c r="A9" s="23" t="s">
        <v>541</v>
      </c>
      <c r="B9" s="20">
        <v>266573.05</v>
      </c>
      <c r="C9" s="29">
        <v>4</v>
      </c>
    </row>
    <row r="10" spans="1:3" x14ac:dyDescent="0.3">
      <c r="A10" s="23" t="s">
        <v>543</v>
      </c>
      <c r="B10" s="20">
        <v>306000</v>
      </c>
      <c r="C10" s="29">
        <v>30</v>
      </c>
    </row>
    <row r="11" spans="1:3" x14ac:dyDescent="0.3">
      <c r="A11" s="23" t="s">
        <v>548</v>
      </c>
      <c r="B11" s="20">
        <v>350230</v>
      </c>
      <c r="C11" s="29">
        <v>3</v>
      </c>
    </row>
    <row r="12" spans="1:3" x14ac:dyDescent="0.3">
      <c r="A12" s="23" t="s">
        <v>534</v>
      </c>
      <c r="B12" s="20">
        <v>408100</v>
      </c>
      <c r="C12" s="29">
        <v>4</v>
      </c>
    </row>
    <row r="13" spans="1:3" x14ac:dyDescent="0.3">
      <c r="A13" s="23" t="s">
        <v>561</v>
      </c>
      <c r="B13" s="20">
        <v>420000</v>
      </c>
      <c r="C13" s="29">
        <v>4</v>
      </c>
    </row>
    <row r="14" spans="1:3" x14ac:dyDescent="0.3">
      <c r="A14" s="23" t="s">
        <v>546</v>
      </c>
      <c r="B14" s="20">
        <v>624210.35</v>
      </c>
      <c r="C14" s="29">
        <v>9</v>
      </c>
    </row>
    <row r="15" spans="1:3" x14ac:dyDescent="0.3">
      <c r="A15" s="23" t="s">
        <v>542</v>
      </c>
      <c r="B15" s="20">
        <v>836600</v>
      </c>
      <c r="C15" s="29">
        <v>5</v>
      </c>
    </row>
    <row r="16" spans="1:3" x14ac:dyDescent="0.3">
      <c r="A16" s="23" t="s">
        <v>551</v>
      </c>
      <c r="B16" s="20">
        <v>1003853</v>
      </c>
      <c r="C16" s="29">
        <v>2</v>
      </c>
    </row>
    <row r="17" spans="1:3" x14ac:dyDescent="0.3">
      <c r="A17" s="23" t="s">
        <v>560</v>
      </c>
      <c r="B17" s="20">
        <v>1084451.3</v>
      </c>
      <c r="C17" s="29">
        <v>14</v>
      </c>
    </row>
    <row r="18" spans="1:3" x14ac:dyDescent="0.3">
      <c r="A18" s="23" t="s">
        <v>696</v>
      </c>
      <c r="B18" s="20">
        <v>1372915</v>
      </c>
      <c r="C18" s="29">
        <v>11</v>
      </c>
    </row>
    <row r="19" spans="1:3" x14ac:dyDescent="0.3">
      <c r="A19" s="23" t="s">
        <v>554</v>
      </c>
      <c r="B19" s="20">
        <v>2489795.87</v>
      </c>
      <c r="C19" s="29">
        <v>33</v>
      </c>
    </row>
    <row r="20" spans="1:3" x14ac:dyDescent="0.3">
      <c r="A20" s="23" t="s">
        <v>535</v>
      </c>
      <c r="B20" s="20">
        <v>2562736.0599999996</v>
      </c>
      <c r="C20" s="29">
        <v>9</v>
      </c>
    </row>
    <row r="21" spans="1:3" x14ac:dyDescent="0.3">
      <c r="A21" s="23" t="s">
        <v>552</v>
      </c>
      <c r="B21" s="20">
        <v>3342223.82</v>
      </c>
      <c r="C21" s="29">
        <v>70</v>
      </c>
    </row>
    <row r="22" spans="1:3" x14ac:dyDescent="0.3">
      <c r="A22" s="23" t="s">
        <v>536</v>
      </c>
      <c r="B22" s="20">
        <v>3383896</v>
      </c>
      <c r="C22" s="29">
        <v>11</v>
      </c>
    </row>
    <row r="23" spans="1:3" x14ac:dyDescent="0.3">
      <c r="A23" s="23" t="s">
        <v>538</v>
      </c>
      <c r="B23" s="20">
        <v>7993496.5599999987</v>
      </c>
      <c r="C23" s="29">
        <v>82</v>
      </c>
    </row>
    <row r="24" spans="1:3" x14ac:dyDescent="0.3">
      <c r="A24" s="23" t="s">
        <v>719</v>
      </c>
      <c r="B24" s="20">
        <v>26644363.580000002</v>
      </c>
      <c r="C24" s="29">
        <v>299</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8FF3B-F8D5-43CB-91D2-A63B3A40C803}">
  <dimension ref="A1:C31"/>
  <sheetViews>
    <sheetView workbookViewId="0"/>
  </sheetViews>
  <sheetFormatPr defaultRowHeight="14.4" x14ac:dyDescent="0.3"/>
  <cols>
    <col min="1" max="2" width="36.77734375" customWidth="1"/>
    <col min="16384" max="16384" width="5" bestFit="1" customWidth="1"/>
  </cols>
  <sheetData>
    <row r="1" spans="1:3" x14ac:dyDescent="0.3">
      <c r="A1" s="5" t="s">
        <v>350</v>
      </c>
    </row>
    <row r="3" spans="1:3" x14ac:dyDescent="0.3">
      <c r="A3" t="s">
        <v>351</v>
      </c>
      <c r="B3" t="s">
        <v>352</v>
      </c>
      <c r="C3">
        <v>0</v>
      </c>
    </row>
    <row r="4" spans="1:3" x14ac:dyDescent="0.3">
      <c r="A4" t="s">
        <v>353</v>
      </c>
    </row>
    <row r="5" spans="1:3" x14ac:dyDescent="0.3">
      <c r="A5" t="s">
        <v>354</v>
      </c>
    </row>
    <row r="7" spans="1:3" x14ac:dyDescent="0.3">
      <c r="A7" s="5" t="s">
        <v>355</v>
      </c>
      <c r="B7" t="s">
        <v>356</v>
      </c>
    </row>
    <row r="8" spans="1:3" x14ac:dyDescent="0.3">
      <c r="B8">
        <v>2</v>
      </c>
    </row>
    <row r="10" spans="1:3" x14ac:dyDescent="0.3">
      <c r="A10" t="s">
        <v>357</v>
      </c>
    </row>
    <row r="11" spans="1:3" x14ac:dyDescent="0.3">
      <c r="A11" t="e">
        <f>CB_DATA_!#REF!</f>
        <v>#REF!</v>
      </c>
      <c r="B11" t="e">
        <f>Buget!#REF!</f>
        <v>#REF!</v>
      </c>
    </row>
    <row r="13" spans="1:3" x14ac:dyDescent="0.3">
      <c r="A13" t="s">
        <v>358</v>
      </c>
    </row>
    <row r="14" spans="1:3" x14ac:dyDescent="0.3">
      <c r="A14" t="s">
        <v>362</v>
      </c>
      <c r="B14" t="s">
        <v>366</v>
      </c>
    </row>
    <row r="16" spans="1:3" x14ac:dyDescent="0.3">
      <c r="A16" t="s">
        <v>359</v>
      </c>
    </row>
    <row r="19" spans="1:2" x14ac:dyDescent="0.3">
      <c r="A19" t="s">
        <v>360</v>
      </c>
    </row>
    <row r="20" spans="1:2" x14ac:dyDescent="0.3">
      <c r="A20">
        <v>28</v>
      </c>
      <c r="B20">
        <v>31</v>
      </c>
    </row>
    <row r="25" spans="1:2" x14ac:dyDescent="0.3">
      <c r="A25" s="5" t="s">
        <v>361</v>
      </c>
    </row>
    <row r="26" spans="1:2" x14ac:dyDescent="0.3">
      <c r="A26" s="6" t="s">
        <v>363</v>
      </c>
      <c r="B26" s="6" t="s">
        <v>367</v>
      </c>
    </row>
    <row r="27" spans="1:2" x14ac:dyDescent="0.3">
      <c r="A27" t="s">
        <v>364</v>
      </c>
      <c r="B27" t="s">
        <v>741</v>
      </c>
    </row>
    <row r="28" spans="1:2" x14ac:dyDescent="0.3">
      <c r="A28" s="6" t="s">
        <v>365</v>
      </c>
      <c r="B28" s="6" t="s">
        <v>368</v>
      </c>
    </row>
    <row r="29" spans="1:2" x14ac:dyDescent="0.3">
      <c r="B29" s="6" t="s">
        <v>363</v>
      </c>
    </row>
    <row r="30" spans="1:2" x14ac:dyDescent="0.3">
      <c r="B30" t="s">
        <v>369</v>
      </c>
    </row>
    <row r="31" spans="1:2" x14ac:dyDescent="0.3">
      <c r="B31" s="6" t="s">
        <v>365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9505b88d-1b3a-4c57-825f-7344cb4e8e7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6868D00AFC36E4AB0D13F82D46A0AE6" ma:contentTypeVersion="6" ma:contentTypeDescription="Create a new document." ma:contentTypeScope="" ma:versionID="df78ed389d414e4590dde960b6de40b2">
  <xsd:schema xmlns:xsd="http://www.w3.org/2001/XMLSchema" xmlns:xs="http://www.w3.org/2001/XMLSchema" xmlns:p="http://schemas.microsoft.com/office/2006/metadata/properties" xmlns:ns3="9505b88d-1b3a-4c57-825f-7344cb4e8e70" targetNamespace="http://schemas.microsoft.com/office/2006/metadata/properties" ma:root="true" ma:fieldsID="a34e389ead9efc07dc0797224733c98b" ns3:_="">
    <xsd:import namespace="9505b88d-1b3a-4c57-825f-7344cb4e8e70"/>
    <xsd:element name="properties">
      <xsd:complexType>
        <xsd:sequence>
          <xsd:element name="documentManagement">
            <xsd:complexType>
              <xsd:all>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05b88d-1b3a-4c57-825f-7344cb4e8e70"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D4441225-5597-4242-BB05-12D8CC2B3353}">
  <ds:schemaRef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purl.org/dc/terms/"/>
    <ds:schemaRef ds:uri="9505b88d-1b3a-4c57-825f-7344cb4e8e70"/>
    <ds:schemaRef ds:uri="http://www.w3.org/XML/1998/namespace"/>
    <ds:schemaRef ds:uri="http://purl.org/dc/elements/1.1/"/>
    <ds:schemaRef ds:uri="http://schemas.microsoft.com/office/infopath/2007/PartnerControls"/>
  </ds:schemaRefs>
</ds:datastoreItem>
</file>

<file path=customXml/itemProps2.xml><?xml version="1.0" encoding="utf-8"?>
<ds:datastoreItem xmlns:ds="http://schemas.openxmlformats.org/officeDocument/2006/customXml" ds:itemID="{C739BAC1-96F0-4FED-A035-238B44206F4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05b88d-1b3a-4c57-825f-7344cb4e8e7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F1B14C4-5F4C-4161-82B5-8FBAAEA4063E}">
  <ds:schemaRefs>
    <ds:schemaRef ds:uri="http://schemas.microsoft.com/sharepoint/v3/contenttype/forms"/>
  </ds:schemaRefs>
</ds:datastoreItem>
</file>

<file path=customXml/itemProps4.xml><?xml version="1.0" encoding="utf-8"?>
<ds:datastoreItem xmlns:ds="http://schemas.openxmlformats.org/officeDocument/2006/customXml" ds:itemID="{A83A110B-6662-451D-BCD0-B5207C6B7F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Direcții</vt:lpstr>
      <vt:lpstr>Structură_conducere</vt:lpstr>
      <vt:lpstr>Contracte </vt:lpstr>
      <vt:lpstr>Achiziții_publice</vt:lpstr>
      <vt:lpstr>Buget</vt:lpstr>
      <vt:lpstr>Statistici descriptive</vt:lpstr>
      <vt:lpstr>PivotTable1</vt:lpstr>
      <vt:lpstr>PivotTable2</vt:lpstr>
      <vt:lpstr>PivotTable3</vt:lpstr>
      <vt:lpstr>PivotChart2</vt:lpstr>
      <vt:lpstr>PivotChart1</vt:lpstr>
      <vt:lpstr>PivotChart3</vt:lpstr>
      <vt:lpstr>PivotChart4</vt:lpstr>
      <vt:lpstr>Pivotchart5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Maroiu P Alexandru-Marian</dc:creator>
  <cp:lastModifiedBy>Maroiu P Alexandru-Marian</cp:lastModifiedBy>
  <dcterms:created xsi:type="dcterms:W3CDTF">2025-10-26T19:18:50Z</dcterms:created>
  <dcterms:modified xsi:type="dcterms:W3CDTF">2026-01-03T19:54:20Z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0x01010056868D00AFC36E4AB0D13F82D46A0AE6</vt:lpwstr>
  </property>
</Properties>
</file>