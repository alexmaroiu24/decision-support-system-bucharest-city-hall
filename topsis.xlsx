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\Sisteme suport decizie\Proiect\"/>
    </mc:Choice>
  </mc:AlternateContent>
  <xr:revisionPtr revIDLastSave="0" documentId="13_ncr:1_{42263535-2FA3-4616-BC68-F8297C95F688}" xr6:coauthVersionLast="47" xr6:coauthVersionMax="47" xr10:uidLastSave="{00000000-0000-0000-0000-000000000000}"/>
  <bookViews>
    <workbookView xWindow="-108" yWindow="-108" windowWidth="23256" windowHeight="12456" xr2:uid="{FC034BB1-871E-48B8-8C92-640FFA71E9E4}"/>
  </bookViews>
  <sheets>
    <sheet name="Sheet1" sheetId="5" r:id="rId1"/>
  </sheets>
  <calcPr calcId="191029" concurrentCalc="0" concurrentManualCount="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9" i="5" l="1"/>
  <c r="F18" i="5"/>
  <c r="B24" i="5"/>
  <c r="E24" i="5"/>
  <c r="B25" i="5"/>
  <c r="C29" i="5"/>
  <c r="C30" i="5"/>
  <c r="C31" i="5"/>
  <c r="B37" i="5"/>
  <c r="C25" i="5"/>
  <c r="D29" i="5"/>
  <c r="E29" i="5"/>
  <c r="E30" i="5"/>
  <c r="E31" i="5"/>
  <c r="C37" i="5"/>
  <c r="G29" i="5"/>
  <c r="F29" i="5"/>
  <c r="F30" i="5"/>
  <c r="F31" i="5"/>
  <c r="D37" i="5"/>
  <c r="B44" i="5"/>
  <c r="B30" i="5"/>
  <c r="B31" i="5"/>
  <c r="B36" i="5"/>
  <c r="D30" i="5"/>
  <c r="D31" i="5"/>
  <c r="C36" i="5"/>
  <c r="G30" i="5"/>
  <c r="G31" i="5"/>
  <c r="D36" i="5"/>
  <c r="B41" i="5"/>
  <c r="B49" i="5"/>
  <c r="B45" i="5"/>
  <c r="B42" i="5"/>
  <c r="B50" i="5"/>
  <c r="B46" i="5"/>
  <c r="B43" i="5"/>
  <c r="B51" i="5"/>
  <c r="B53" i="5"/>
  <c r="D25" i="5"/>
  <c r="E25" i="5"/>
  <c r="B18" i="5"/>
  <c r="C24" i="5"/>
  <c r="D24" i="5"/>
  <c r="C11" i="5"/>
  <c r="C18" i="5"/>
  <c r="C19" i="5"/>
  <c r="C20" i="5"/>
  <c r="C12" i="5"/>
  <c r="D18" i="5"/>
  <c r="D19" i="5"/>
  <c r="D20" i="5"/>
  <c r="C13" i="5"/>
  <c r="G18" i="5"/>
  <c r="G19" i="5"/>
  <c r="G20" i="5"/>
  <c r="F19" i="5"/>
  <c r="F20" i="5"/>
  <c r="E18" i="5"/>
  <c r="E19" i="5"/>
  <c r="E20" i="5"/>
  <c r="B19" i="5"/>
  <c r="B20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68BD84E-E7C1-4DA9-870B-817FCEC5EE06}" keepAlive="1" name="Query - Sales" description="Connection to the 'Sales' query in the workbook." type="5" refreshedVersion="8" background="1" saveData="1">
    <dbPr connection="Provider=Microsoft.Mashup.OleDb.1;Data Source=$Workbook$;Location=Sales;Extended Properties=&quot;&quot;" command="SELECT * FROM [Sales]"/>
  </connection>
  <connection id="2" xr16:uid="{FED8764A-98E4-45A7-A3AF-B2FAFAE4F2B2}" keepAlive="1" name="Query - Targets" description="Connection to the 'Targets' query in the workbook." type="5" refreshedVersion="8" background="1" saveData="1">
    <dbPr connection="Provider=Microsoft.Mashup.OleDb.1;Data Source=$Workbook$;Location=Targets;Extended Properties=&quot;&quot;" command="SELECT * FROM [Targets]"/>
  </connection>
</connections>
</file>

<file path=xl/sharedStrings.xml><?xml version="1.0" encoding="utf-8"?>
<sst xmlns="http://schemas.openxmlformats.org/spreadsheetml/2006/main" count="64" uniqueCount="36">
  <si>
    <t>L</t>
  </si>
  <si>
    <t>U</t>
  </si>
  <si>
    <t>C2(min)</t>
  </si>
  <si>
    <t>C3(max)</t>
  </si>
  <si>
    <t>Criteriul 1</t>
  </si>
  <si>
    <t>Criteriul 2</t>
  </si>
  <si>
    <t>Criteriul 3</t>
  </si>
  <si>
    <t>Pasul 1: Normalizare matricea consecintelor</t>
  </si>
  <si>
    <t>r1</t>
  </si>
  <si>
    <t>r2</t>
  </si>
  <si>
    <t>r3</t>
  </si>
  <si>
    <t>Pasul 2: Calcul matrice ponderata</t>
  </si>
  <si>
    <t>d1+</t>
  </si>
  <si>
    <t>d2+</t>
  </si>
  <si>
    <t>d3+</t>
  </si>
  <si>
    <t>Investiția 2</t>
  </si>
  <si>
    <t>Investiția 3</t>
  </si>
  <si>
    <t>πj</t>
  </si>
  <si>
    <t>Media coeficienților</t>
  </si>
  <si>
    <t>Coeficienți ponderați</t>
  </si>
  <si>
    <t>C1(min)</t>
  </si>
  <si>
    <t>Pasul 4: Gradul de separare al fiecărei alternative faţă de soluţiile ideale pozitive şi negative</t>
  </si>
  <si>
    <t>A+</t>
  </si>
  <si>
    <t>A-</t>
  </si>
  <si>
    <t>d1-</t>
  </si>
  <si>
    <t>d2-</t>
  </si>
  <si>
    <t>d3-</t>
  </si>
  <si>
    <t>Pas 5. Calculul coeficientului de apropiere și determinarea ierarhiei finale</t>
  </si>
  <si>
    <t>CC1</t>
  </si>
  <si>
    <t>CC2</t>
  </si>
  <si>
    <t>CC3</t>
  </si>
  <si>
    <t>CC *</t>
  </si>
  <si>
    <t>CC3 =&gt;</t>
  </si>
  <si>
    <t xml:space="preserve">Investitia 3 </t>
  </si>
  <si>
    <t>Investiția 1</t>
  </si>
  <si>
    <t>Pasul 3. Se identifică soluţia ideală pozitivă, precum şi soluţia ideală negativă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</si>
</sst>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1F1F1F"/>
      <name val="Arial"/>
      <family val="2"/>
    </font>
    <font>
      <sz val="11"/>
      <color rgb="FF1F1F1F"/>
      <name val="Arial"/>
      <family val="2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89999084444715716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9">
    <xf numFmtId="0" fontId="0" fillId="0" borderId="0" xfId="0"/>
    <xf numFmtId="2" fontId="0" fillId="0" borderId="0" xfId="0" applyNumberFormat="1"/>
    <xf numFmtId="0" fontId="16" fillId="34" borderId="0" xfId="0" applyFont="1" applyFill="1" applyAlignment="1">
      <alignment horizontal="center"/>
    </xf>
    <xf numFmtId="0" fontId="16" fillId="34" borderId="0" xfId="0" applyFont="1" applyFill="1"/>
    <xf numFmtId="0" fontId="16" fillId="33" borderId="0" xfId="0" applyFont="1" applyFill="1"/>
    <xf numFmtId="164" fontId="0" fillId="0" borderId="0" xfId="0" applyNumberFormat="1"/>
    <xf numFmtId="0" fontId="16" fillId="0" borderId="0" xfId="0" applyFont="1" applyAlignment="1">
      <alignment horizontal="center"/>
    </xf>
    <xf numFmtId="0" fontId="16" fillId="0" borderId="0" xfId="0" applyFont="1"/>
    <xf numFmtId="0" fontId="16" fillId="33" borderId="0" xfId="0" applyFont="1" applyFill="1" applyAlignment="1">
      <alignment horizontal="center"/>
    </xf>
    <xf numFmtId="0" fontId="0" fillId="0" borderId="0" xfId="0" applyAlignment="1">
      <alignment horizontal="center"/>
    </xf>
    <xf numFmtId="1" fontId="19" fillId="0" borderId="0" xfId="0" applyNumberFormat="1" applyFont="1" applyAlignment="1">
      <alignment horizontal="center" vertical="center" wrapText="1" readingOrder="1"/>
    </xf>
    <xf numFmtId="2" fontId="18" fillId="0" borderId="0" xfId="0" applyNumberFormat="1" applyFont="1" applyAlignment="1">
      <alignment horizontal="center" vertical="center" wrapText="1" readingOrder="1"/>
    </xf>
    <xf numFmtId="2" fontId="0" fillId="35" borderId="0" xfId="0" applyNumberFormat="1" applyFill="1"/>
    <xf numFmtId="0" fontId="16" fillId="36" borderId="0" xfId="0" applyFont="1" applyFill="1"/>
    <xf numFmtId="0" fontId="0" fillId="36" borderId="0" xfId="0" applyFill="1"/>
    <xf numFmtId="0" fontId="0" fillId="35" borderId="0" xfId="0" applyFill="1"/>
    <xf numFmtId="0" fontId="0" fillId="0" borderId="0" xfId="0" applyAlignment="1">
      <alignment horizontal="left"/>
    </xf>
    <xf numFmtId="0" fontId="0" fillId="37" borderId="0" xfId="0" applyFill="1" applyAlignment="1">
      <alignment horizontal="left"/>
    </xf>
    <xf numFmtId="0" fontId="16" fillId="37" borderId="0" xfId="0" applyFont="1" applyFill="1"/>
    <xf numFmtId="164" fontId="0" fillId="38" borderId="0" xfId="0" applyNumberFormat="1" applyFill="1"/>
    <xf numFmtId="0" fontId="16" fillId="38" borderId="0" xfId="0" applyFont="1" applyFill="1" applyAlignment="1">
      <alignment horizontal="left"/>
    </xf>
    <xf numFmtId="0" fontId="16" fillId="38" borderId="0" xfId="0" applyFont="1" applyFill="1"/>
    <xf numFmtId="0" fontId="0" fillId="0" borderId="0" xfId="0" applyFill="1"/>
    <xf numFmtId="0" fontId="16" fillId="36" borderId="0" xfId="0" applyFont="1" applyFill="1" applyAlignment="1">
      <alignment horizontal="left"/>
    </xf>
    <xf numFmtId="0" fontId="16" fillId="36" borderId="0" xfId="0" applyFont="1" applyFill="1" applyAlignment="1"/>
    <xf numFmtId="0" fontId="16" fillId="0" borderId="0" xfId="0" applyFont="1" applyFill="1" applyAlignment="1"/>
    <xf numFmtId="0" fontId="16" fillId="36" borderId="0" xfId="0" applyFont="1" applyFill="1" applyAlignment="1">
      <alignment horizontal="center"/>
    </xf>
    <xf numFmtId="164" fontId="0" fillId="38" borderId="0" xfId="0" applyNumberFormat="1" applyFill="1" applyAlignment="1">
      <alignment horizontal="center"/>
    </xf>
    <xf numFmtId="164" fontId="16" fillId="38" borderId="0" xfId="0" applyNumberFormat="1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249970</xdr:colOff>
      <xdr:row>6</xdr:row>
      <xdr:rowOff>170329</xdr:rowOff>
    </xdr:from>
    <xdr:to>
      <xdr:col>11</xdr:col>
      <xdr:colOff>188237</xdr:colOff>
      <xdr:row>10</xdr:row>
      <xdr:rowOff>166588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66382F-74AB-3D79-942D-D0A926211A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19311" y="1246094"/>
          <a:ext cx="4384761" cy="713435"/>
        </a:xfrm>
        <a:prstGeom prst="rect">
          <a:avLst/>
        </a:prstGeom>
      </xdr:spPr>
    </xdr:pic>
    <xdr:clientData/>
  </xdr:twoCellAnchor>
  <xdr:twoCellAnchor editAs="oneCell">
    <xdr:from>
      <xdr:col>5</xdr:col>
      <xdr:colOff>376519</xdr:colOff>
      <xdr:row>22</xdr:row>
      <xdr:rowOff>152846</xdr:rowOff>
    </xdr:from>
    <xdr:to>
      <xdr:col>7</xdr:col>
      <xdr:colOff>394448</xdr:colOff>
      <xdr:row>24</xdr:row>
      <xdr:rowOff>174324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211FF26-B2B0-77D6-D82D-E80F5A2B4A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00284" y="4097317"/>
          <a:ext cx="1326776" cy="380066"/>
        </a:xfrm>
        <a:prstGeom prst="rect">
          <a:avLst/>
        </a:prstGeom>
      </xdr:spPr>
    </xdr:pic>
    <xdr:clientData/>
  </xdr:twoCellAnchor>
  <xdr:twoCellAnchor editAs="oneCell">
    <xdr:from>
      <xdr:col>8</xdr:col>
      <xdr:colOff>17929</xdr:colOff>
      <xdr:row>22</xdr:row>
      <xdr:rowOff>134471</xdr:rowOff>
    </xdr:from>
    <xdr:to>
      <xdr:col>11</xdr:col>
      <xdr:colOff>151553</xdr:colOff>
      <xdr:row>24</xdr:row>
      <xdr:rowOff>128357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0C49B1B-E162-FD45-888B-90099E54B6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04964" y="4078942"/>
          <a:ext cx="1962424" cy="352474"/>
        </a:xfrm>
        <a:prstGeom prst="rect">
          <a:avLst/>
        </a:prstGeom>
      </xdr:spPr>
    </xdr:pic>
    <xdr:clientData/>
  </xdr:twoCellAnchor>
  <xdr:twoCellAnchor editAs="oneCell">
    <xdr:from>
      <xdr:col>8</xdr:col>
      <xdr:colOff>14503</xdr:colOff>
      <xdr:row>26</xdr:row>
      <xdr:rowOff>98611</xdr:rowOff>
    </xdr:from>
    <xdr:to>
      <xdr:col>12</xdr:col>
      <xdr:colOff>403413</xdr:colOff>
      <xdr:row>30</xdr:row>
      <xdr:rowOff>157560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2079967-0FCD-84DA-56CA-45A62347DE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101538" y="4760258"/>
          <a:ext cx="2872134" cy="776126"/>
        </a:xfrm>
        <a:prstGeom prst="rect">
          <a:avLst/>
        </a:prstGeom>
      </xdr:spPr>
    </xdr:pic>
    <xdr:clientData/>
  </xdr:twoCellAnchor>
  <xdr:twoCellAnchor editAs="oneCell">
    <xdr:from>
      <xdr:col>6</xdr:col>
      <xdr:colOff>98610</xdr:colOff>
      <xdr:row>34</xdr:row>
      <xdr:rowOff>89647</xdr:rowOff>
    </xdr:from>
    <xdr:to>
      <xdr:col>9</xdr:col>
      <xdr:colOff>180882</xdr:colOff>
      <xdr:row>36</xdr:row>
      <xdr:rowOff>181085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C01EAE5-D047-5356-F9DB-4923BADC56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876798" y="6185647"/>
          <a:ext cx="2000719" cy="450026"/>
        </a:xfrm>
        <a:prstGeom prst="rect">
          <a:avLst/>
        </a:prstGeom>
      </xdr:spPr>
    </xdr:pic>
    <xdr:clientData/>
  </xdr:twoCellAnchor>
  <xdr:twoCellAnchor editAs="oneCell">
    <xdr:from>
      <xdr:col>7</xdr:col>
      <xdr:colOff>272944</xdr:colOff>
      <xdr:row>40</xdr:row>
      <xdr:rowOff>26893</xdr:rowOff>
    </xdr:from>
    <xdr:to>
      <xdr:col>12</xdr:col>
      <xdr:colOff>276275</xdr:colOff>
      <xdr:row>44</xdr:row>
      <xdr:rowOff>13022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2AB1A9D-E676-15D5-9A9D-3A8095E1B2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705556" y="7279340"/>
          <a:ext cx="3140978" cy="703306"/>
        </a:xfrm>
        <a:prstGeom prst="rect">
          <a:avLst/>
        </a:prstGeom>
      </xdr:spPr>
    </xdr:pic>
    <xdr:clientData/>
  </xdr:twoCellAnchor>
  <xdr:twoCellAnchor editAs="oneCell">
    <xdr:from>
      <xdr:col>6</xdr:col>
      <xdr:colOff>394448</xdr:colOff>
      <xdr:row>46</xdr:row>
      <xdr:rowOff>125506</xdr:rowOff>
    </xdr:from>
    <xdr:to>
      <xdr:col>8</xdr:col>
      <xdr:colOff>550210</xdr:colOff>
      <xdr:row>49</xdr:row>
      <xdr:rowOff>33698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4F3397D-0CFF-F3E0-6B1D-8F77969810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172636" y="8453718"/>
          <a:ext cx="1464609" cy="446074"/>
        </a:xfrm>
        <a:prstGeom prst="rect">
          <a:avLst/>
        </a:prstGeom>
      </xdr:spPr>
    </xdr:pic>
    <xdr:clientData/>
  </xdr:twoCellAnchor>
  <xdr:twoCellAnchor editAs="oneCell">
    <xdr:from>
      <xdr:col>6</xdr:col>
      <xdr:colOff>533400</xdr:colOff>
      <xdr:row>49</xdr:row>
      <xdr:rowOff>38820</xdr:rowOff>
    </xdr:from>
    <xdr:to>
      <xdr:col>8</xdr:col>
      <xdr:colOff>457199</xdr:colOff>
      <xdr:row>51</xdr:row>
      <xdr:rowOff>129421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FAF2DD80-29D0-4239-B8AA-B27D9D7742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301343" y="9182820"/>
          <a:ext cx="1230085" cy="4607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1FF08-4161-4EA1-A999-832CC7FB9EF3}">
  <dimension ref="A1:P53"/>
  <sheetViews>
    <sheetView tabSelected="1" zoomScale="70" zoomScaleNormal="70" workbookViewId="0">
      <selection activeCell="O13" sqref="O13"/>
    </sheetView>
  </sheetViews>
  <sheetFormatPr defaultRowHeight="14.4" x14ac:dyDescent="0.3"/>
  <cols>
    <col min="1" max="1" width="19.88671875" customWidth="1"/>
    <col min="2" max="2" width="10.6640625" customWidth="1"/>
    <col min="3" max="3" width="10.44140625" customWidth="1"/>
    <col min="4" max="4" width="9.5546875" customWidth="1"/>
    <col min="5" max="8" width="9.5546875" bestFit="1" customWidth="1"/>
    <col min="12" max="12" width="9.5546875" bestFit="1" customWidth="1"/>
  </cols>
  <sheetData>
    <row r="1" spans="1:7" x14ac:dyDescent="0.3">
      <c r="A1" s="9"/>
      <c r="B1" s="8" t="s">
        <v>20</v>
      </c>
      <c r="C1" s="8"/>
      <c r="D1" s="8" t="s">
        <v>2</v>
      </c>
      <c r="E1" s="8"/>
      <c r="F1" s="8" t="s">
        <v>3</v>
      </c>
      <c r="G1" s="8"/>
    </row>
    <row r="2" spans="1:7" x14ac:dyDescent="0.3">
      <c r="A2" s="9"/>
      <c r="B2" s="2" t="s">
        <v>0</v>
      </c>
      <c r="C2" s="2" t="s">
        <v>1</v>
      </c>
      <c r="D2" s="2" t="s">
        <v>0</v>
      </c>
      <c r="E2" s="2" t="s">
        <v>1</v>
      </c>
      <c r="F2" s="2" t="s">
        <v>0</v>
      </c>
      <c r="G2" s="3" t="s">
        <v>1</v>
      </c>
    </row>
    <row r="3" spans="1:7" x14ac:dyDescent="0.3">
      <c r="A3" s="4" t="s">
        <v>34</v>
      </c>
      <c r="B3" s="10">
        <v>420</v>
      </c>
      <c r="C3" s="10">
        <v>480</v>
      </c>
      <c r="D3" s="10">
        <v>36</v>
      </c>
      <c r="E3" s="10">
        <v>48</v>
      </c>
      <c r="F3" s="10">
        <v>9</v>
      </c>
      <c r="G3" s="10">
        <v>10</v>
      </c>
    </row>
    <row r="4" spans="1:7" x14ac:dyDescent="0.3">
      <c r="A4" s="4" t="s">
        <v>15</v>
      </c>
      <c r="B4" s="10">
        <v>180</v>
      </c>
      <c r="C4" s="10">
        <v>220</v>
      </c>
      <c r="D4" s="10">
        <v>12</v>
      </c>
      <c r="E4" s="10">
        <v>18</v>
      </c>
      <c r="F4" s="10">
        <v>7</v>
      </c>
      <c r="G4" s="10">
        <v>9</v>
      </c>
    </row>
    <row r="5" spans="1:7" x14ac:dyDescent="0.3">
      <c r="A5" s="4" t="s">
        <v>16</v>
      </c>
      <c r="B5" s="10">
        <v>77</v>
      </c>
      <c r="C5" s="10">
        <v>115</v>
      </c>
      <c r="D5" s="10">
        <v>24</v>
      </c>
      <c r="E5" s="10">
        <v>36</v>
      </c>
      <c r="F5" s="10">
        <v>8</v>
      </c>
      <c r="G5" s="10">
        <v>10</v>
      </c>
    </row>
    <row r="6" spans="1:7" x14ac:dyDescent="0.3">
      <c r="A6" s="6" t="s">
        <v>17</v>
      </c>
      <c r="B6" s="11">
        <v>0.2</v>
      </c>
      <c r="C6" s="11">
        <v>0.25</v>
      </c>
      <c r="D6" s="11">
        <v>0.35</v>
      </c>
      <c r="E6" s="11">
        <v>0.4</v>
      </c>
      <c r="F6" s="11">
        <v>0.5</v>
      </c>
      <c r="G6" s="11">
        <v>0.55000000000000004</v>
      </c>
    </row>
    <row r="9" spans="1:7" x14ac:dyDescent="0.3">
      <c r="A9" s="23" t="s">
        <v>7</v>
      </c>
      <c r="B9" s="23"/>
      <c r="C9" s="23"/>
      <c r="D9" s="23"/>
    </row>
    <row r="11" spans="1:7" x14ac:dyDescent="0.3">
      <c r="A11" s="13" t="s">
        <v>4</v>
      </c>
      <c r="B11" s="13" t="s">
        <v>8</v>
      </c>
      <c r="C11" s="12">
        <f>SQRT(SUM(B3^2+B4^2+B5^2+C3^2+C4^2+C5^2))</f>
        <v>711.86656052942953</v>
      </c>
    </row>
    <row r="12" spans="1:7" x14ac:dyDescent="0.3">
      <c r="A12" s="13" t="s">
        <v>5</v>
      </c>
      <c r="B12" s="13" t="s">
        <v>9</v>
      </c>
      <c r="C12" s="12">
        <f>SQRT(SUM(D3^2+D4^2+D5^2+E3^2+E4^2+E5^2))</f>
        <v>77.071395471990769</v>
      </c>
    </row>
    <row r="13" spans="1:7" x14ac:dyDescent="0.3">
      <c r="A13" s="13" t="s">
        <v>6</v>
      </c>
      <c r="B13" s="13" t="s">
        <v>10</v>
      </c>
      <c r="C13" s="12">
        <f>SQRT(SUM(F3^2+F4^2+F5^2+G3^2+G4^2+G5^2))</f>
        <v>21.794494717703369</v>
      </c>
    </row>
    <row r="16" spans="1:7" x14ac:dyDescent="0.3">
      <c r="A16" s="9"/>
      <c r="B16" s="8" t="s">
        <v>20</v>
      </c>
      <c r="C16" s="8"/>
      <c r="D16" s="8" t="s">
        <v>2</v>
      </c>
      <c r="E16" s="8"/>
      <c r="F16" s="8" t="s">
        <v>3</v>
      </c>
      <c r="G16" s="8"/>
    </row>
    <row r="17" spans="1:16" x14ac:dyDescent="0.3">
      <c r="A17" s="9"/>
      <c r="B17" s="2" t="s">
        <v>0</v>
      </c>
      <c r="C17" s="2" t="s">
        <v>1</v>
      </c>
      <c r="D17" s="2" t="s">
        <v>0</v>
      </c>
      <c r="E17" s="2" t="s">
        <v>1</v>
      </c>
      <c r="F17" s="2" t="s">
        <v>0</v>
      </c>
      <c r="G17" s="3" t="s">
        <v>1</v>
      </c>
    </row>
    <row r="18" spans="1:16" s="7" customFormat="1" x14ac:dyDescent="0.3">
      <c r="A18" s="4" t="s">
        <v>34</v>
      </c>
      <c r="B18" s="1">
        <f>B3/$C$11</f>
        <v>0.5899982149570806</v>
      </c>
      <c r="C18" s="1">
        <f>C3/$C$11</f>
        <v>0.67428367423666358</v>
      </c>
      <c r="D18" s="1">
        <f>D3/$C$12</f>
        <v>0.4670993664969138</v>
      </c>
      <c r="E18" s="1">
        <f>E3/$C$12</f>
        <v>0.62279915532921837</v>
      </c>
      <c r="F18" s="1">
        <f>F3/$C$13</f>
        <v>0.41294832096701117</v>
      </c>
      <c r="G18" s="1">
        <f>G3/$C$13</f>
        <v>0.45883146774112349</v>
      </c>
      <c r="H18"/>
      <c r="I18"/>
      <c r="J18"/>
      <c r="K18"/>
      <c r="L18"/>
      <c r="M18"/>
      <c r="N18"/>
      <c r="O18"/>
      <c r="P18"/>
    </row>
    <row r="19" spans="1:16" x14ac:dyDescent="0.3">
      <c r="A19" s="4" t="s">
        <v>15</v>
      </c>
      <c r="B19" s="1">
        <f>B4/$C$11</f>
        <v>0.25285637783874881</v>
      </c>
      <c r="C19" s="1">
        <f>C4/$C$11</f>
        <v>0.30904668402513746</v>
      </c>
      <c r="D19" s="1">
        <f>D4/$C$12</f>
        <v>0.15569978883230459</v>
      </c>
      <c r="E19" s="1">
        <f>E4/$C$12</f>
        <v>0.2335496832484569</v>
      </c>
      <c r="F19" s="1">
        <f>F4/$C$13</f>
        <v>0.32118202741878643</v>
      </c>
      <c r="G19" s="1">
        <f>G4/$C$13</f>
        <v>0.41294832096701117</v>
      </c>
    </row>
    <row r="20" spans="1:16" x14ac:dyDescent="0.3">
      <c r="A20" s="4" t="s">
        <v>16</v>
      </c>
      <c r="B20" s="1">
        <f>B5/$C$11</f>
        <v>0.10816633940879811</v>
      </c>
      <c r="C20" s="1">
        <f>C5/$C$11</f>
        <v>0.16154713028586731</v>
      </c>
      <c r="D20" s="1">
        <f>D5/$C$12</f>
        <v>0.31139957766460918</v>
      </c>
      <c r="E20" s="1">
        <f>E5/$C$12</f>
        <v>0.4670993664969138</v>
      </c>
      <c r="F20" s="1">
        <f>F5/$C$13</f>
        <v>0.3670651741928988</v>
      </c>
      <c r="G20" s="1">
        <f>G5/$C$13</f>
        <v>0.45883146774112349</v>
      </c>
    </row>
    <row r="22" spans="1:16" x14ac:dyDescent="0.3">
      <c r="A22" s="23" t="s">
        <v>11</v>
      </c>
      <c r="B22" s="23"/>
      <c r="C22" s="23"/>
    </row>
    <row r="24" spans="1:16" x14ac:dyDescent="0.3">
      <c r="A24" s="13" t="s">
        <v>18</v>
      </c>
      <c r="B24" s="15">
        <f>(B6+C6)/2</f>
        <v>0.22500000000000001</v>
      </c>
      <c r="C24" s="15">
        <f>(D6+E6)/2</f>
        <v>0.375</v>
      </c>
      <c r="D24" s="15">
        <f>(F6+G6)/2</f>
        <v>0.52500000000000002</v>
      </c>
      <c r="E24" s="14">
        <f>SUM(B24:D24)</f>
        <v>1.125</v>
      </c>
    </row>
    <row r="25" spans="1:16" x14ac:dyDescent="0.3">
      <c r="A25" s="13" t="s">
        <v>19</v>
      </c>
      <c r="B25" s="12">
        <f>B24/$E$24</f>
        <v>0.2</v>
      </c>
      <c r="C25" s="12">
        <f t="shared" ref="C25:D25" si="0">C24/$E$24</f>
        <v>0.33333333333333331</v>
      </c>
      <c r="D25" s="12">
        <f t="shared" si="0"/>
        <v>0.46666666666666667</v>
      </c>
      <c r="E25" s="14">
        <f>SUM(B25:D25)</f>
        <v>1</v>
      </c>
    </row>
    <row r="27" spans="1:16" x14ac:dyDescent="0.3">
      <c r="A27" s="9"/>
      <c r="B27" s="8" t="s">
        <v>20</v>
      </c>
      <c r="C27" s="8"/>
      <c r="D27" s="8" t="s">
        <v>2</v>
      </c>
      <c r="E27" s="8"/>
      <c r="F27" s="8" t="s">
        <v>3</v>
      </c>
      <c r="G27" s="8"/>
    </row>
    <row r="28" spans="1:16" x14ac:dyDescent="0.3">
      <c r="A28" s="9"/>
      <c r="B28" s="2" t="s">
        <v>0</v>
      </c>
      <c r="C28" s="2" t="s">
        <v>1</v>
      </c>
      <c r="D28" s="2" t="s">
        <v>0</v>
      </c>
      <c r="E28" s="2" t="s">
        <v>1</v>
      </c>
      <c r="F28" s="2" t="s">
        <v>0</v>
      </c>
      <c r="G28" s="3" t="s">
        <v>1</v>
      </c>
    </row>
    <row r="29" spans="1:16" x14ac:dyDescent="0.3">
      <c r="A29" s="4" t="s">
        <v>34</v>
      </c>
      <c r="B29" s="5">
        <f>B18*$B$25</f>
        <v>0.11799964299141613</v>
      </c>
      <c r="C29" s="5">
        <f>C18*$B$25</f>
        <v>0.13485673484733271</v>
      </c>
      <c r="D29" s="5">
        <f>D18*$C$25</f>
        <v>0.15569978883230459</v>
      </c>
      <c r="E29" s="5">
        <f>E18*$C$25</f>
        <v>0.20759971844307279</v>
      </c>
      <c r="F29" s="5">
        <f>F18*$E$24</f>
        <v>0.46456686108788758</v>
      </c>
      <c r="G29" s="5">
        <f>G18*$E$24</f>
        <v>0.51618540120876388</v>
      </c>
    </row>
    <row r="30" spans="1:16" x14ac:dyDescent="0.3">
      <c r="A30" s="4" t="s">
        <v>15</v>
      </c>
      <c r="B30" s="5">
        <f t="shared" ref="B30:C31" si="1">B19*$B$25</f>
        <v>5.0571275567749763E-2</v>
      </c>
      <c r="C30" s="5">
        <f t="shared" si="1"/>
        <v>6.1809336805027495E-2</v>
      </c>
      <c r="D30" s="5">
        <f t="shared" ref="D30:E31" si="2">D19*$C$25</f>
        <v>5.1899929610768197E-2</v>
      </c>
      <c r="E30" s="5">
        <f t="shared" si="2"/>
        <v>7.7849894416152296E-2</v>
      </c>
      <c r="F30" s="5">
        <f t="shared" ref="F30:G31" si="3">F19*$E$24</f>
        <v>0.36132978084613476</v>
      </c>
      <c r="G30" s="5">
        <f t="shared" si="3"/>
        <v>0.46456686108788758</v>
      </c>
    </row>
    <row r="31" spans="1:16" x14ac:dyDescent="0.3">
      <c r="A31" s="4" t="s">
        <v>16</v>
      </c>
      <c r="B31" s="5">
        <f t="shared" si="1"/>
        <v>2.1633267881759621E-2</v>
      </c>
      <c r="C31" s="5">
        <f t="shared" si="1"/>
        <v>3.2309426057173463E-2</v>
      </c>
      <c r="D31" s="5">
        <f t="shared" si="2"/>
        <v>0.10379985922153639</v>
      </c>
      <c r="E31" s="5">
        <f t="shared" si="2"/>
        <v>0.15569978883230459</v>
      </c>
      <c r="F31" s="5">
        <f t="shared" si="3"/>
        <v>0.41294832096701117</v>
      </c>
      <c r="G31" s="5">
        <f t="shared" si="3"/>
        <v>0.51618540120876388</v>
      </c>
    </row>
    <row r="33" spans="1:13" x14ac:dyDescent="0.3">
      <c r="E33" s="7"/>
    </row>
    <row r="34" spans="1:13" s="22" customFormat="1" x14ac:dyDescent="0.3">
      <c r="A34" s="24" t="s">
        <v>35</v>
      </c>
      <c r="B34" s="24"/>
      <c r="C34" s="24"/>
      <c r="D34" s="24"/>
      <c r="E34" s="24"/>
      <c r="F34" s="24"/>
      <c r="G34" s="25"/>
    </row>
    <row r="36" spans="1:13" x14ac:dyDescent="0.3">
      <c r="A36" s="18" t="s">
        <v>22</v>
      </c>
      <c r="B36" s="19">
        <f>MIN(B29:B31)</f>
        <v>2.1633267881759621E-2</v>
      </c>
      <c r="C36" s="19">
        <f>MIN(D29:D31)</f>
        <v>5.1899929610768197E-2</v>
      </c>
      <c r="D36" s="19">
        <f>MAX(G29:G31)</f>
        <v>0.51618540120876388</v>
      </c>
    </row>
    <row r="37" spans="1:13" ht="20.399999999999999" customHeight="1" x14ac:dyDescent="0.3">
      <c r="A37" s="18" t="s">
        <v>23</v>
      </c>
      <c r="B37" s="19">
        <f>MAX(C29:C31)</f>
        <v>0.13485673484733271</v>
      </c>
      <c r="C37" s="19">
        <f>MAX(E29:E31)</f>
        <v>0.20759971844307279</v>
      </c>
      <c r="D37" s="19">
        <f>MIN(F29:F31)</f>
        <v>0.36132978084613476</v>
      </c>
    </row>
    <row r="40" spans="1:13" x14ac:dyDescent="0.3">
      <c r="A40" s="24" t="s">
        <v>21</v>
      </c>
      <c r="B40" s="24"/>
      <c r="C40" s="24"/>
      <c r="D40" s="24"/>
      <c r="E40" s="26"/>
      <c r="F40" s="26"/>
      <c r="G40" s="26"/>
      <c r="H40" s="6"/>
    </row>
    <row r="41" spans="1:13" x14ac:dyDescent="0.3">
      <c r="A41" s="17" t="s">
        <v>12</v>
      </c>
      <c r="B41" s="27">
        <f>SQRT((C29-$B$36)^2+(E29-$C$36)^2+(F29-$D$36)^2)</f>
        <v>0.19931495528017704</v>
      </c>
      <c r="C41" s="16"/>
      <c r="D41" s="16"/>
    </row>
    <row r="42" spans="1:13" x14ac:dyDescent="0.3">
      <c r="A42" s="17" t="s">
        <v>13</v>
      </c>
      <c r="B42" s="27">
        <f t="shared" ref="B42:B43" si="4">SQRT((C30-$B$36)^2+(E30-$C$36)^2+(F30-$D$36)^2)</f>
        <v>0.16207337950885875</v>
      </c>
      <c r="C42" s="16"/>
      <c r="D42" s="16"/>
    </row>
    <row r="43" spans="1:13" x14ac:dyDescent="0.3">
      <c r="A43" s="17" t="s">
        <v>14</v>
      </c>
      <c r="B43" s="27">
        <f>SQRT((C31-$B$36)^2+(E31-$C$36)^2+(F31-$D$36)^2)</f>
        <v>0.14678653161867172</v>
      </c>
      <c r="C43" s="16"/>
      <c r="D43" s="16"/>
      <c r="I43" s="6"/>
      <c r="J43" s="6"/>
      <c r="K43" s="6"/>
      <c r="L43" s="6"/>
      <c r="M43" s="6"/>
    </row>
    <row r="44" spans="1:13" x14ac:dyDescent="0.3">
      <c r="A44" s="17" t="s">
        <v>24</v>
      </c>
      <c r="B44" s="27">
        <f>SQRT((B29-$B$37)^2+(D29-$C$37)^2+(G29-$D$37)^2)</f>
        <v>0.16418899901435607</v>
      </c>
    </row>
    <row r="45" spans="1:13" x14ac:dyDescent="0.3">
      <c r="A45" s="17" t="s">
        <v>25</v>
      </c>
      <c r="B45" s="27">
        <f t="shared" ref="B45:B46" si="5">SQRT((B30-$B$37)^2+(D30-$C$37)^2+(G30-$D$37)^2)</f>
        <v>0.20494964656040904</v>
      </c>
    </row>
    <row r="46" spans="1:13" x14ac:dyDescent="0.3">
      <c r="A46" s="17" t="s">
        <v>26</v>
      </c>
      <c r="B46" s="27">
        <f t="shared" si="5"/>
        <v>0.21811517004557412</v>
      </c>
    </row>
    <row r="48" spans="1:13" s="7" customFormat="1" x14ac:dyDescent="0.3">
      <c r="A48" s="13" t="s">
        <v>27</v>
      </c>
      <c r="B48" s="13"/>
      <c r="C48" s="13"/>
      <c r="D48" s="13"/>
      <c r="E48" s="13"/>
      <c r="F48" s="13"/>
    </row>
    <row r="49" spans="1:4" x14ac:dyDescent="0.3">
      <c r="A49" s="17" t="s">
        <v>28</v>
      </c>
      <c r="B49" s="19">
        <f>B44/(B41+B44)</f>
        <v>0.4516842171167143</v>
      </c>
    </row>
    <row r="50" spans="1:4" x14ac:dyDescent="0.3">
      <c r="A50" s="17" t="s">
        <v>29</v>
      </c>
      <c r="B50" s="19">
        <f t="shared" ref="B50:B51" si="6">B45/(B42+B45)</f>
        <v>0.55841086799205109</v>
      </c>
    </row>
    <row r="51" spans="1:4" x14ac:dyDescent="0.3">
      <c r="A51" s="17" t="s">
        <v>30</v>
      </c>
      <c r="B51" s="28">
        <f>B46/(B43+B46)</f>
        <v>0.59773678514184281</v>
      </c>
    </row>
    <row r="53" spans="1:4" x14ac:dyDescent="0.3">
      <c r="A53" s="20" t="s">
        <v>31</v>
      </c>
      <c r="B53" s="28">
        <f>MAX(B49:B51)</f>
        <v>0.59773678514184281</v>
      </c>
      <c r="C53" s="21" t="s">
        <v>32</v>
      </c>
      <c r="D53" s="21" t="s">
        <v>33</v>
      </c>
    </row>
  </sheetData>
  <mergeCells count="14">
    <mergeCell ref="A1:A2"/>
    <mergeCell ref="A16:A17"/>
    <mergeCell ref="A27:A28"/>
    <mergeCell ref="B1:C1"/>
    <mergeCell ref="D1:E1"/>
    <mergeCell ref="F1:G1"/>
    <mergeCell ref="A9:D9"/>
    <mergeCell ref="B16:C16"/>
    <mergeCell ref="D16:E16"/>
    <mergeCell ref="F16:G16"/>
    <mergeCell ref="A22:C22"/>
    <mergeCell ref="B27:C27"/>
    <mergeCell ref="D27:E27"/>
    <mergeCell ref="F27:G27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0792C16-A6FF-4319-8274-2F9E7CE7001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Maroiu</dc:creator>
  <cp:lastModifiedBy>Maroiu P Alexandru-Marian</cp:lastModifiedBy>
  <dcterms:created xsi:type="dcterms:W3CDTF">2025-10-29T10:45:26Z</dcterms:created>
  <dcterms:modified xsi:type="dcterms:W3CDTF">2026-01-03T22:30:28Z</dcterms:modified>
</cp:coreProperties>
</file>