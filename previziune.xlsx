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Sisteme suport decizie\Proiect\"/>
    </mc:Choice>
  </mc:AlternateContent>
  <xr:revisionPtr revIDLastSave="0" documentId="13_ncr:1_{2DC5C3D1-093F-43A9-98E3-4B5723C15B25}" xr6:coauthVersionLast="47" xr6:coauthVersionMax="47" xr10:uidLastSave="{00000000-0000-0000-0000-000000000000}"/>
  <bookViews>
    <workbookView xWindow="11424" yWindow="0" windowWidth="11712" windowHeight="12336" xr2:uid="{1CD5BBF4-193C-402C-AE0D-D98C562444CD}"/>
  </bookViews>
  <sheets>
    <sheet name="Metode" sheetId="1" r:id="rId1"/>
    <sheet name="Grafic" sheetId="2" r:id="rId2"/>
  </sheets>
  <definedNames>
    <definedName name="solver_adj" localSheetId="0" hidden="1">Metode!$E$2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Metode!$E$2</definedName>
    <definedName name="solver_lhs2" localSheetId="0" hidden="1">Metode!$E$3</definedName>
    <definedName name="solver_lhs3" localSheetId="0" hidden="1">Metode!$Q$42</definedName>
    <definedName name="solver_lhs4" localSheetId="0" hidden="1">Metode!$Q$42</definedName>
    <definedName name="solver_lhs5" localSheetId="0" hidden="1">Metode!$Q$42</definedName>
    <definedName name="solver_lhs6" localSheetId="0" hidden="1">Metode!$Q$42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Metode!$F$30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hs1" localSheetId="0" hidden="1">1</definedName>
    <definedName name="solver_rhs2" localSheetId="0" hidden="1">0</definedName>
    <definedName name="solver_rhs3" localSheetId="0" hidden="1">1</definedName>
    <definedName name="solver_rhs4" localSheetId="0" hidden="1">1</definedName>
    <definedName name="solver_rhs5" localSheetId="0" hidden="1">1</definedName>
    <definedName name="solver_rhs6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E18" i="1"/>
  <c r="E19" i="1"/>
  <c r="E20" i="1"/>
  <c r="E21" i="1"/>
  <c r="E54" i="1"/>
  <c r="E55" i="1"/>
  <c r="E56" i="1"/>
  <c r="E57" i="1"/>
  <c r="J19" i="1"/>
  <c r="K19" i="1"/>
  <c r="J20" i="1"/>
  <c r="K20" i="1"/>
  <c r="J21" i="1"/>
  <c r="K21" i="1"/>
  <c r="D27" i="1"/>
  <c r="O19" i="1" a="1"/>
  <c r="O19" i="1"/>
  <c r="P19" i="1"/>
  <c r="O20" i="1" a="1"/>
  <c r="O20" i="1"/>
  <c r="P20" i="1"/>
  <c r="O21" i="1" a="1"/>
  <c r="O21" i="1"/>
  <c r="P21" i="1"/>
  <c r="E27" i="1"/>
  <c r="F19" i="1"/>
  <c r="F20" i="1"/>
  <c r="F21" i="1"/>
  <c r="F27" i="1"/>
  <c r="L19" i="1"/>
  <c r="L20" i="1"/>
  <c r="L21" i="1"/>
  <c r="D28" i="1"/>
  <c r="Q19" i="1"/>
  <c r="Q20" i="1"/>
  <c r="Q21" i="1"/>
  <c r="E28" i="1"/>
  <c r="G19" i="1"/>
  <c r="G20" i="1"/>
  <c r="G21" i="1"/>
  <c r="F28" i="1"/>
  <c r="M19" i="1"/>
  <c r="M20" i="1"/>
  <c r="M21" i="1"/>
  <c r="D29" i="1"/>
  <c r="R19" i="1"/>
  <c r="R20" i="1"/>
  <c r="R21" i="1"/>
  <c r="E29" i="1"/>
  <c r="H19" i="1"/>
  <c r="H20" i="1"/>
  <c r="H21" i="1"/>
  <c r="F29" i="1"/>
  <c r="N19" i="1"/>
  <c r="N20" i="1"/>
  <c r="N21" i="1"/>
  <c r="D30" i="1"/>
  <c r="S19" i="1"/>
  <c r="S20" i="1"/>
  <c r="S21" i="1"/>
  <c r="E30" i="1"/>
  <c r="I19" i="1"/>
  <c r="I20" i="1"/>
  <c r="I21" i="1"/>
  <c r="F30" i="1"/>
  <c r="F54" i="1"/>
  <c r="H52" i="1"/>
  <c r="G55" i="1"/>
  <c r="H55" i="1"/>
  <c r="I56" i="1"/>
  <c r="H53" i="1"/>
  <c r="F56" i="1"/>
  <c r="G56" i="1"/>
  <c r="H56" i="1"/>
  <c r="I57" i="1"/>
  <c r="H54" i="1"/>
  <c r="I55" i="1"/>
  <c r="F57" i="1"/>
  <c r="G57" i="1"/>
  <c r="J55" i="1"/>
  <c r="M55" i="1"/>
  <c r="J56" i="1"/>
  <c r="M56" i="1"/>
  <c r="H57" i="1"/>
  <c r="J57" i="1"/>
  <c r="M57" i="1"/>
  <c r="Q51" i="1"/>
  <c r="K55" i="1"/>
  <c r="L55" i="1"/>
  <c r="K56" i="1"/>
  <c r="L56" i="1"/>
  <c r="K57" i="1"/>
  <c r="L57" i="1"/>
  <c r="Q50" i="1"/>
  <c r="Q49" i="1"/>
  <c r="Q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<sst xmlns="http://schemas.openxmlformats.org/spreadsheetml/2006/main" count="67" uniqueCount="35">
  <si>
    <t>An</t>
  </si>
  <si>
    <t>Perioada</t>
  </si>
  <si>
    <t>Venituri totale</t>
  </si>
  <si>
    <t>Exponential smoothing</t>
  </si>
  <si>
    <t>Error</t>
  </si>
  <si>
    <t>ABS</t>
  </si>
  <si>
    <t>Error %</t>
  </si>
  <si>
    <t>Sq. Error</t>
  </si>
  <si>
    <t>Medie mobilă k=3</t>
  </si>
  <si>
    <t>Sq. error</t>
  </si>
  <si>
    <t>TREND</t>
  </si>
  <si>
    <t>Date istorice</t>
  </si>
  <si>
    <t>Orizont de prognoza</t>
  </si>
  <si>
    <t>EM=</t>
  </si>
  <si>
    <t>EMA=</t>
  </si>
  <si>
    <t>EPMA=</t>
  </si>
  <si>
    <t>EMP=</t>
  </si>
  <si>
    <t>Media mobilă de lungime k=3</t>
  </si>
  <si>
    <t>Netezirea exponențială simplă</t>
  </si>
  <si>
    <t>Netezirea exponențială Holt Winters</t>
  </si>
  <si>
    <t>Extrapolare a tendinței</t>
  </si>
  <si>
    <t>Level</t>
  </si>
  <si>
    <t>Trend</t>
  </si>
  <si>
    <t>Seasonal</t>
  </si>
  <si>
    <t>Holt-Winters Exp_smooth</t>
  </si>
  <si>
    <t>Sq.Error</t>
  </si>
  <si>
    <t>alpha=</t>
  </si>
  <si>
    <t>beta=</t>
  </si>
  <si>
    <t>gamma=</t>
  </si>
  <si>
    <t>Indicator</t>
  </si>
  <si>
    <t>Venituri reale</t>
  </si>
  <si>
    <t>Veniturile previzioante cu medie mobilă k=3</t>
  </si>
  <si>
    <t>Veniturile previzionate cu Holt-Winters Exp_smooth</t>
  </si>
  <si>
    <t>Veniturile previzionate cu Exp. Smooth.</t>
  </si>
  <si>
    <t xml:space="preserve">Veniturile previzioante cu extrapolarea tendinței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</si>
</sst>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0" fillId="2" borderId="0" xfId="0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4" fillId="0" borderId="0" xfId="0" applyFont="1" applyAlignment="1">
      <alignment wrapText="1"/>
    </xf>
    <xf numFmtId="0" fontId="0" fillId="7" borderId="0" xfId="0" applyFill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0" xfId="0" applyFont="1" applyFill="1"/>
    <xf numFmtId="2" fontId="4" fillId="9" borderId="0" xfId="0" applyNumberFormat="1" applyFont="1" applyFill="1"/>
    <xf numFmtId="0" fontId="4" fillId="0" borderId="0" xfId="0" applyFont="1" applyAlignment="1">
      <alignment horizontal="center"/>
    </xf>
    <xf numFmtId="0" fontId="4" fillId="14" borderId="0" xfId="0" applyFont="1" applyFill="1" applyAlignment="1">
      <alignment horizontal="center"/>
    </xf>
    <xf numFmtId="2" fontId="0" fillId="14" borderId="0" xfId="0" applyNumberFormat="1" applyFill="1"/>
    <xf numFmtId="0" fontId="0" fillId="14" borderId="0" xfId="0" applyFill="1"/>
    <xf numFmtId="9" fontId="0" fillId="14" borderId="0" xfId="0" applyNumberFormat="1" applyFill="1"/>
    <xf numFmtId="164" fontId="0" fillId="14" borderId="0" xfId="0" applyNumberFormat="1" applyFill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2" fillId="13" borderId="1" xfId="0" applyNumberFormat="1" applyFont="1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12" borderId="1" xfId="0" applyFont="1" applyFill="1" applyBorder="1" applyAlignment="1">
      <alignment horizontal="center"/>
    </xf>
    <xf numFmtId="2" fontId="0" fillId="12" borderId="1" xfId="0" applyNumberForma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2" fillId="0" borderId="0" xfId="1" applyNumberFormat="1" applyFont="1" applyAlignment="1">
      <alignment horizontal="center"/>
    </xf>
    <xf numFmtId="0" fontId="0" fillId="2" borderId="2" xfId="0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CCFF"/>
      <color rgb="FFFF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Grafic!$B$1</c:f>
              <c:strCache>
                <c:ptCount val="1"/>
                <c:pt idx="0">
                  <c:v>Venituri reale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Grafic!$A$2:$A$21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Grafic!$B$2:$B$21</c:f>
              <c:numCache>
                <c:formatCode>0.00</c:formatCode>
                <c:ptCount val="20"/>
                <c:pt idx="0">
                  <c:v>1461898.4790000001</c:v>
                </c:pt>
                <c:pt idx="1">
                  <c:v>1918538.8670000001</c:v>
                </c:pt>
                <c:pt idx="2">
                  <c:v>3068343.2560000001</c:v>
                </c:pt>
                <c:pt idx="3">
                  <c:v>3378425.8190000001</c:v>
                </c:pt>
                <c:pt idx="4">
                  <c:v>3418746.8879999998</c:v>
                </c:pt>
                <c:pt idx="5">
                  <c:v>3416388.7239999999</c:v>
                </c:pt>
                <c:pt idx="6">
                  <c:v>3284054.35</c:v>
                </c:pt>
                <c:pt idx="7">
                  <c:v>3201298.7560000001</c:v>
                </c:pt>
                <c:pt idx="8">
                  <c:v>3206870.5929999999</c:v>
                </c:pt>
                <c:pt idx="9">
                  <c:v>3394594.514</c:v>
                </c:pt>
                <c:pt idx="10">
                  <c:v>3595357.27</c:v>
                </c:pt>
                <c:pt idx="11">
                  <c:v>3715911.8169999998</c:v>
                </c:pt>
                <c:pt idx="12">
                  <c:v>3857068.2510000002</c:v>
                </c:pt>
                <c:pt idx="13">
                  <c:v>4199458.1279999996</c:v>
                </c:pt>
                <c:pt idx="14">
                  <c:v>4051720.463</c:v>
                </c:pt>
                <c:pt idx="15">
                  <c:v>4464987.4239999996</c:v>
                </c:pt>
                <c:pt idx="16">
                  <c:v>4997758.0970000001</c:v>
                </c:pt>
                <c:pt idx="17">
                  <c:v>5301499.9460000005</c:v>
                </c:pt>
                <c:pt idx="18">
                  <c:v>7146357.432</c:v>
                </c:pt>
                <c:pt idx="19">
                  <c:v>6478669.6349999998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4-4EDD-8030-12DE7CA73544}"/>
            </c:ext>
          </c:extLst>
        </c:ser>
        <c:ser>
          <c:idx val="1"/>
          <c:order val="1"/>
          <c:tx>
            <c:strRef>
              <c:f>Grafic!$C$1</c:f>
              <c:strCache>
                <c:ptCount val="1"/>
                <c:pt idx="0">
                  <c:v>Veniturile previzionate cu Exp. Smooth.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Grafic!$A$2:$A$21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Grafic!$C$2:$C$21</c:f>
              <c:numCache>
                <c:formatCode>General</c:formatCode>
                <c:ptCount val="20"/>
                <c:pt idx="17">
                  <c:v>4997758.0970000001</c:v>
                </c:pt>
                <c:pt idx="18">
                  <c:v>5241983.5728725009</c:v>
                </c:pt>
                <c:pt idx="19">
                  <c:v>6773206.9242670722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4-4EDD-8030-12DE7CA73544}"/>
            </c:ext>
          </c:extLst>
        </c:ser>
        <c:ser>
          <c:idx val="2"/>
          <c:order val="2"/>
          <c:tx>
            <c:strRef>
              <c:f>Grafic!$D$1</c:f>
              <c:strCache>
                <c:ptCount val="1"/>
                <c:pt idx="0">
                  <c:v>Veniturile previzioante cu medie mobilă k=3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Grafic!$A$2:$A$21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Grafic!$D$2:$D$21</c:f>
              <c:numCache>
                <c:formatCode>General</c:formatCode>
                <c:ptCount val="20"/>
                <c:pt idx="17">
                  <c:v>4504821.9946666667</c:v>
                </c:pt>
                <c:pt idx="18">
                  <c:v>4655855.8385555558</c:v>
                </c:pt>
                <c:pt idx="19">
                  <c:v>4719478.6434074072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54-4EDD-8030-12DE7CA73544}"/>
            </c:ext>
          </c:extLst>
        </c:ser>
        <c:ser>
          <c:idx val="3"/>
          <c:order val="3"/>
          <c:tx>
            <c:strRef>
              <c:f>Grafic!$E$1</c:f>
              <c:strCache>
                <c:ptCount val="1"/>
                <c:pt idx="0">
                  <c:v>Veniturile previzioante cu extrapolarea tendinței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Grafic!$A$2:$A$21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Grafic!$E$2:$E$21</c:f>
              <c:numCache>
                <c:formatCode>General</c:formatCode>
                <c:ptCount val="20"/>
                <c:pt idx="17">
                  <c:v>4763286.5253308807</c:v>
                </c:pt>
                <c:pt idx="18">
                  <c:v>4794955.4578572642</c:v>
                </c:pt>
                <c:pt idx="19">
                  <c:v>4825046.5159266759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54-4EDD-8030-12DE7CA73544}"/>
            </c:ext>
          </c:extLst>
        </c:ser>
        <c:ser>
          <c:idx val="4"/>
          <c:order val="4"/>
          <c:tx>
            <c:strRef>
              <c:f>Grafic!$F$1</c:f>
              <c:strCache>
                <c:ptCount val="1"/>
                <c:pt idx="0">
                  <c:v>Veniturile previzionate cu Holt-Winters Exp_smooth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18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654-4EDD-8030-12DE7CA73544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54-4EDD-8030-12DE7CA73544}"/>
              </c:ext>
            </c:extLst>
          </c:dPt>
          <c:cat>
            <c:numRef>
              <c:f>Grafic!$A$2:$A$21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Grafic!$F$2:$F$21</c:f>
              <c:numCache>
                <c:formatCode>General</c:formatCode>
                <c:ptCount val="20"/>
                <c:pt idx="17">
                  <c:v>5504365.5190282147</c:v>
                </c:pt>
                <c:pt idx="18">
                  <c:v>5473579.0807850808</c:v>
                </c:pt>
                <c:pt idx="19">
                  <c:v>7084789.3629103536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54-4EDD-8030-12DE7CA73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827391"/>
        <c:axId val="690822591"/>
      </c:lineChart>
      <c:catAx>
        <c:axId val="69082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22591"/>
        <c:crosses val="autoZero"/>
        <c:auto val="1"/>
        <c:lblAlgn val="ctr"/>
        <c:lblOffset val="100"/>
        <c:noMultiLvlLbl val="0"/>
      </c:catAx>
      <c:valAx>
        <c:axId val="69082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2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566057</xdr:colOff>
      <xdr:row>21</xdr:row>
      <xdr:rowOff>21771</xdr:rowOff>
    </xdr:from>
    <xdr:to>
      <xdr:col>5</xdr:col>
      <xdr:colOff>210094</xdr:colOff>
      <xdr:row>40</xdr:row>
      <xdr:rowOff>71301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E9EE41-E2A0-7C5D-E933-2AC6888D1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ED169-8BED-4A6C-BC32-47D2FA2BBA74}" name="Table1" displayName="Table1" ref="C26:G30" totalsRowShown="0">
  <autoFilter ref="C26:G30" xr:uid="{372ED169-8BED-4A6C-BC32-47D2FA2BBA74}"/>
  <tableColumns count="5">
    <tableColumn id="1" xr3:uid="{7D16151F-0A4D-447A-9125-3CFEB9873E49}" name="Indicator" dataDxfId="11"/>
    <tableColumn id="2" xr3:uid="{9823B78B-C0E8-41F8-A355-4EC08B12F858}" name="Media mobilă de lungime k=3" dataDxfId="10"/>
    <tableColumn id="3" xr3:uid="{1B55D6F0-8373-4C0A-AA23-C1FDE23768EB}" name="Extrapolare a tendinței" dataDxfId="9"/>
    <tableColumn id="4" xr3:uid="{5B06E1E6-AB1E-44DD-9BF5-C565EE0509FE}" name="Netezirea exponențială simplă" dataDxfId="8"/>
    <tableColumn id="5" xr3:uid="{65324DCF-7956-451E-9C0B-DAC9507A009D}" name="Netezirea exponențială Holt Winters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C50783-D7DB-4BE7-BB47-2B50A337ABBD}" name="Table6" displayName="Table6" ref="I6:M10" totalsRowShown="0" headerRowDxfId="6" dataDxfId="5">
  <autoFilter ref="I6:M10" xr:uid="{85C50783-D7DB-4BE7-BB47-2B50A337ABBD}"/>
  <tableColumns count="5">
    <tableColumn id="1" xr3:uid="{128932B8-39D4-4B2D-BB87-7CA918B8A2C0}" name="Indicator" dataDxfId="4"/>
    <tableColumn id="2" xr3:uid="{D519C01F-4F40-4CA4-A9B5-8B0007F2D9DE}" name="Media mobilă de lungime k=3" dataDxfId="3"/>
    <tableColumn id="3" xr3:uid="{ADDA3C1C-DBB0-4C63-AD73-D8D7BBFB6FE2}" name="Extrapolare a tendinței" dataDxfId="2"/>
    <tableColumn id="4" xr3:uid="{8F411522-C8CE-41EB-8A89-D2B210226A5C}" name="Netezirea exponențială simplă" dataDxfId="1"/>
    <tableColumn id="5" xr3:uid="{FB3EBE57-8AC9-44C3-9787-B84468C63745}" name="Netezirea exponențială Holt Winter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F72F-12AB-46C7-A3B9-AE0A32F76712}">
  <dimension ref="A1:S58"/>
  <sheetViews>
    <sheetView tabSelected="1" topLeftCell="A26" zoomScale="70" zoomScaleNormal="70" workbookViewId="0">
      <selection activeCell="J55" sqref="J55"/>
    </sheetView>
  </sheetViews>
  <sheetFormatPr defaultRowHeight="14.4" x14ac:dyDescent="0.3"/>
  <cols>
    <col min="1" max="1" width="9.109375" customWidth="1"/>
    <col min="3" max="3" width="8.77734375" customWidth="1"/>
    <col min="4" max="4" width="24" customWidth="1"/>
    <col min="5" max="5" width="20.109375" customWidth="1"/>
    <col min="6" max="6" width="20.77734375" customWidth="1"/>
    <col min="7" max="7" width="29.77734375" customWidth="1"/>
    <col min="8" max="8" width="17" bestFit="1" customWidth="1"/>
    <col min="9" max="9" width="17.88671875" customWidth="1"/>
    <col min="10" max="10" width="16.44140625" customWidth="1"/>
    <col min="11" max="11" width="12.44140625" customWidth="1"/>
    <col min="12" max="12" width="11.5546875" bestFit="1" customWidth="1"/>
    <col min="13" max="13" width="19.6640625" bestFit="1" customWidth="1"/>
    <col min="14" max="14" width="17" bestFit="1" customWidth="1"/>
    <col min="15" max="15" width="11.5546875" bestFit="1" customWidth="1"/>
    <col min="16" max="16" width="12.21875" bestFit="1" customWidth="1"/>
    <col min="17" max="17" width="19.6640625" bestFit="1" customWidth="1"/>
    <col min="18" max="18" width="7.109375" bestFit="1" customWidth="1"/>
    <col min="19" max="19" width="18.33203125" bestFit="1" customWidth="1"/>
  </cols>
  <sheetData>
    <row r="1" spans="1:19" s="35" customFormat="1" ht="16.2" thickBot="1" x14ac:dyDescent="0.35">
      <c r="A1" s="31"/>
      <c r="B1" s="32" t="s">
        <v>0</v>
      </c>
      <c r="C1" s="32" t="s">
        <v>1</v>
      </c>
      <c r="D1" s="32" t="s">
        <v>2</v>
      </c>
      <c r="E1" s="36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3" t="s">
        <v>8</v>
      </c>
      <c r="K1" s="32" t="s">
        <v>4</v>
      </c>
      <c r="L1" s="32" t="s">
        <v>5</v>
      </c>
      <c r="M1" s="32" t="s">
        <v>6</v>
      </c>
      <c r="N1" s="32" t="s">
        <v>9</v>
      </c>
      <c r="O1" s="34" t="s">
        <v>10</v>
      </c>
      <c r="P1" s="32" t="s">
        <v>4</v>
      </c>
      <c r="Q1" s="32" t="s">
        <v>5</v>
      </c>
      <c r="R1" s="32" t="s">
        <v>6</v>
      </c>
      <c r="S1" s="32" t="s">
        <v>7</v>
      </c>
    </row>
    <row r="2" spans="1:19" ht="15" thickBot="1" x14ac:dyDescent="0.35">
      <c r="A2" s="57" t="s">
        <v>11</v>
      </c>
      <c r="B2" s="20">
        <v>2005</v>
      </c>
      <c r="C2" s="20">
        <v>1</v>
      </c>
      <c r="D2" s="22">
        <v>1461898.4790000001</v>
      </c>
      <c r="E2" s="23">
        <v>0.80405606496620952</v>
      </c>
      <c r="F2" s="20"/>
      <c r="G2" s="20"/>
      <c r="H2" s="20"/>
      <c r="I2" s="20"/>
      <c r="J2" s="30">
        <v>1461898.4790000001</v>
      </c>
      <c r="K2" s="20"/>
      <c r="L2" s="20"/>
      <c r="M2" s="20"/>
      <c r="N2" s="20"/>
      <c r="O2" s="26">
        <v>1461898.4790000001</v>
      </c>
      <c r="P2" s="20"/>
      <c r="Q2" s="20"/>
      <c r="R2" s="20"/>
      <c r="S2" s="20"/>
    </row>
    <row r="3" spans="1:19" ht="15" thickBot="1" x14ac:dyDescent="0.35">
      <c r="A3" s="57"/>
      <c r="B3" s="20">
        <v>2006</v>
      </c>
      <c r="C3" s="20">
        <v>2</v>
      </c>
      <c r="D3" s="22">
        <v>1918538.8670000001</v>
      </c>
      <c r="E3" s="20"/>
      <c r="F3" s="20"/>
      <c r="G3" s="20"/>
      <c r="H3" s="20"/>
      <c r="I3" s="20"/>
      <c r="J3" s="30">
        <v>1918538.8670000001</v>
      </c>
      <c r="K3" s="20"/>
      <c r="L3" s="20"/>
      <c r="M3" s="20"/>
      <c r="N3" s="20"/>
      <c r="O3" s="26">
        <v>1918538.8670000001</v>
      </c>
      <c r="P3" s="20"/>
      <c r="Q3" s="20"/>
      <c r="R3" s="20"/>
      <c r="S3" s="20"/>
    </row>
    <row r="4" spans="1:19" ht="15" thickBot="1" x14ac:dyDescent="0.35">
      <c r="A4" s="57"/>
      <c r="B4" s="20">
        <v>2007</v>
      </c>
      <c r="C4" s="20">
        <v>3</v>
      </c>
      <c r="D4" s="22">
        <v>3068343.2560000001</v>
      </c>
      <c r="E4" s="20"/>
      <c r="F4" s="20"/>
      <c r="G4" s="20"/>
      <c r="H4" s="20"/>
      <c r="I4" s="20"/>
      <c r="J4" s="30">
        <v>3068343.2560000001</v>
      </c>
      <c r="K4" s="20"/>
      <c r="L4" s="20"/>
      <c r="M4" s="20"/>
      <c r="N4" s="20"/>
      <c r="O4" s="26">
        <v>3068343.2560000001</v>
      </c>
      <c r="P4" s="20"/>
      <c r="Q4" s="20"/>
      <c r="R4" s="20"/>
      <c r="S4" s="20"/>
    </row>
    <row r="5" spans="1:19" ht="15" thickBot="1" x14ac:dyDescent="0.35">
      <c r="A5" s="57"/>
      <c r="B5" s="20">
        <v>2008</v>
      </c>
      <c r="C5" s="20">
        <v>4</v>
      </c>
      <c r="D5" s="22">
        <v>3378425.8190000001</v>
      </c>
      <c r="E5" s="20"/>
      <c r="F5" s="20"/>
      <c r="G5" s="20"/>
      <c r="H5" s="20"/>
      <c r="I5" s="20"/>
      <c r="J5" s="30">
        <v>3378425.8190000001</v>
      </c>
      <c r="K5" s="20"/>
      <c r="L5" s="20"/>
      <c r="M5" s="20"/>
      <c r="N5" s="20"/>
      <c r="O5" s="26">
        <v>3378425.8190000001</v>
      </c>
      <c r="P5" s="20"/>
      <c r="Q5" s="20"/>
      <c r="R5" s="20"/>
      <c r="S5" s="20"/>
    </row>
    <row r="6" spans="1:19" ht="15" thickBot="1" x14ac:dyDescent="0.35">
      <c r="A6" s="57"/>
      <c r="B6" s="20">
        <v>2009</v>
      </c>
      <c r="C6" s="20">
        <v>5</v>
      </c>
      <c r="D6" s="22">
        <v>3418746.8879999998</v>
      </c>
      <c r="E6" s="20"/>
      <c r="F6" s="20"/>
      <c r="G6" s="20"/>
      <c r="H6" s="20"/>
      <c r="I6" s="20"/>
      <c r="J6" s="30">
        <v>3418746.8879999998</v>
      </c>
      <c r="K6" s="20"/>
      <c r="L6" s="20"/>
      <c r="M6" s="20"/>
      <c r="N6" s="20"/>
      <c r="O6" s="26">
        <v>3418746.8879999998</v>
      </c>
      <c r="P6" s="20"/>
      <c r="Q6" s="20"/>
      <c r="R6" s="20"/>
      <c r="S6" s="20"/>
    </row>
    <row r="7" spans="1:19" ht="15" thickBot="1" x14ac:dyDescent="0.35">
      <c r="A7" s="57"/>
      <c r="B7" s="20">
        <v>2010</v>
      </c>
      <c r="C7" s="20">
        <v>6</v>
      </c>
      <c r="D7" s="22">
        <v>3416388.7239999999</v>
      </c>
      <c r="E7" s="20"/>
      <c r="F7" s="20"/>
      <c r="G7" s="20"/>
      <c r="H7" s="20"/>
      <c r="I7" s="20"/>
      <c r="J7" s="30">
        <v>3416388.7239999999</v>
      </c>
      <c r="K7" s="20"/>
      <c r="L7" s="20"/>
      <c r="M7" s="20"/>
      <c r="N7" s="20"/>
      <c r="O7" s="26">
        <v>3416388.7239999999</v>
      </c>
      <c r="P7" s="20"/>
      <c r="Q7" s="20"/>
      <c r="R7" s="20"/>
      <c r="S7" s="20"/>
    </row>
    <row r="8" spans="1:19" ht="15" thickBot="1" x14ac:dyDescent="0.35">
      <c r="A8" s="57"/>
      <c r="B8" s="20">
        <v>2011</v>
      </c>
      <c r="C8" s="20">
        <v>7</v>
      </c>
      <c r="D8" s="22">
        <v>3284054.35</v>
      </c>
      <c r="E8" s="20"/>
      <c r="F8" s="20"/>
      <c r="G8" s="20"/>
      <c r="H8" s="20"/>
      <c r="I8" s="20"/>
      <c r="J8" s="30">
        <v>3284054.35</v>
      </c>
      <c r="K8" s="20"/>
      <c r="L8" s="20"/>
      <c r="M8" s="20"/>
      <c r="N8" s="20"/>
      <c r="O8" s="26">
        <v>3284054.35</v>
      </c>
      <c r="P8" s="20"/>
      <c r="Q8" s="20"/>
      <c r="R8" s="20"/>
      <c r="S8" s="20"/>
    </row>
    <row r="9" spans="1:19" ht="15" thickBot="1" x14ac:dyDescent="0.35">
      <c r="A9" s="57"/>
      <c r="B9" s="20">
        <v>2012</v>
      </c>
      <c r="C9" s="20">
        <v>8</v>
      </c>
      <c r="D9" s="22">
        <v>3201298.7560000001</v>
      </c>
      <c r="E9" s="20"/>
      <c r="F9" s="20"/>
      <c r="G9" s="20"/>
      <c r="H9" s="20"/>
      <c r="I9" s="20"/>
      <c r="J9" s="30">
        <v>3201298.7560000001</v>
      </c>
      <c r="K9" s="20"/>
      <c r="L9" s="20"/>
      <c r="M9" s="20"/>
      <c r="N9" s="20"/>
      <c r="O9" s="26">
        <v>3201298.7560000001</v>
      </c>
      <c r="P9" s="20"/>
      <c r="Q9" s="20"/>
      <c r="R9" s="20"/>
      <c r="S9" s="20"/>
    </row>
    <row r="10" spans="1:19" ht="15" thickBot="1" x14ac:dyDescent="0.35">
      <c r="A10" s="57"/>
      <c r="B10" s="20">
        <v>2013</v>
      </c>
      <c r="C10" s="20">
        <v>9</v>
      </c>
      <c r="D10" s="22">
        <v>3206870.5929999999</v>
      </c>
      <c r="E10" s="20"/>
      <c r="F10" s="20"/>
      <c r="G10" s="20"/>
      <c r="H10" s="20"/>
      <c r="I10" s="20"/>
      <c r="J10" s="30">
        <v>3206870.5929999999</v>
      </c>
      <c r="K10" s="20"/>
      <c r="L10" s="20"/>
      <c r="M10" s="20"/>
      <c r="N10" s="20"/>
      <c r="O10" s="26">
        <v>3206870.5929999999</v>
      </c>
      <c r="P10" s="20"/>
      <c r="Q10" s="20"/>
      <c r="R10" s="20"/>
      <c r="S10" s="20"/>
    </row>
    <row r="11" spans="1:19" ht="15" thickBot="1" x14ac:dyDescent="0.35">
      <c r="A11" s="57"/>
      <c r="B11" s="20">
        <v>2014</v>
      </c>
      <c r="C11" s="20">
        <v>10</v>
      </c>
      <c r="D11" s="22">
        <v>3394594.514</v>
      </c>
      <c r="E11" s="20"/>
      <c r="F11" s="20"/>
      <c r="G11" s="20"/>
      <c r="H11" s="20"/>
      <c r="I11" s="20"/>
      <c r="J11" s="30">
        <v>3394594.514</v>
      </c>
      <c r="K11" s="20"/>
      <c r="L11" s="20"/>
      <c r="M11" s="20"/>
      <c r="N11" s="20"/>
      <c r="O11" s="26">
        <v>3394594.514</v>
      </c>
      <c r="P11" s="20"/>
      <c r="Q11" s="20"/>
      <c r="R11" s="20"/>
      <c r="S11" s="20"/>
    </row>
    <row r="12" spans="1:19" ht="15" thickBot="1" x14ac:dyDescent="0.35">
      <c r="A12" s="57"/>
      <c r="B12" s="20">
        <v>2015</v>
      </c>
      <c r="C12" s="20">
        <v>11</v>
      </c>
      <c r="D12" s="22">
        <v>3595357.27</v>
      </c>
      <c r="E12" s="20"/>
      <c r="F12" s="20"/>
      <c r="G12" s="20"/>
      <c r="H12" s="20"/>
      <c r="I12" s="20"/>
      <c r="J12" s="30">
        <v>3595357.27</v>
      </c>
      <c r="K12" s="20"/>
      <c r="L12" s="20"/>
      <c r="M12" s="20"/>
      <c r="N12" s="20"/>
      <c r="O12" s="26">
        <v>3595357.27</v>
      </c>
      <c r="P12" s="20"/>
      <c r="Q12" s="20"/>
      <c r="R12" s="20"/>
      <c r="S12" s="20"/>
    </row>
    <row r="13" spans="1:19" ht="15" thickBot="1" x14ac:dyDescent="0.35">
      <c r="A13" s="57"/>
      <c r="B13" s="20">
        <v>2016</v>
      </c>
      <c r="C13" s="20">
        <v>12</v>
      </c>
      <c r="D13" s="22">
        <v>3715911.8169999998</v>
      </c>
      <c r="E13" s="20"/>
      <c r="F13" s="20"/>
      <c r="G13" s="20"/>
      <c r="H13" s="20"/>
      <c r="I13" s="20"/>
      <c r="J13" s="30">
        <v>3715911.8169999998</v>
      </c>
      <c r="K13" s="20"/>
      <c r="L13" s="20"/>
      <c r="M13" s="20"/>
      <c r="N13" s="20"/>
      <c r="O13" s="26">
        <v>3715911.8169999998</v>
      </c>
      <c r="P13" s="20"/>
      <c r="Q13" s="20"/>
      <c r="R13" s="20"/>
      <c r="S13" s="20"/>
    </row>
    <row r="14" spans="1:19" ht="15" thickBot="1" x14ac:dyDescent="0.35">
      <c r="A14" s="57"/>
      <c r="B14" s="20">
        <v>2017</v>
      </c>
      <c r="C14" s="20">
        <v>13</v>
      </c>
      <c r="D14" s="22">
        <v>3857068.2510000002</v>
      </c>
      <c r="E14" s="20"/>
      <c r="F14" s="20"/>
      <c r="G14" s="20"/>
      <c r="H14" s="20"/>
      <c r="I14" s="20"/>
      <c r="J14" s="30">
        <v>3857068.2510000002</v>
      </c>
      <c r="K14" s="20"/>
      <c r="L14" s="20"/>
      <c r="M14" s="20"/>
      <c r="N14" s="20"/>
      <c r="O14" s="26">
        <v>3857068.2510000002</v>
      </c>
      <c r="P14" s="20"/>
      <c r="Q14" s="20"/>
      <c r="R14" s="20"/>
      <c r="S14" s="20"/>
    </row>
    <row r="15" spans="1:19" ht="15" thickBot="1" x14ac:dyDescent="0.35">
      <c r="A15" s="57"/>
      <c r="B15" s="20">
        <v>2018</v>
      </c>
      <c r="C15" s="20">
        <v>14</v>
      </c>
      <c r="D15" s="22">
        <v>4199458.1279999996</v>
      </c>
      <c r="E15" s="20"/>
      <c r="F15" s="20"/>
      <c r="G15" s="20"/>
      <c r="H15" s="20"/>
      <c r="I15" s="20"/>
      <c r="J15" s="30">
        <v>4199458.1279999996</v>
      </c>
      <c r="K15" s="20"/>
      <c r="L15" s="20"/>
      <c r="M15" s="20"/>
      <c r="N15" s="20"/>
      <c r="O15" s="26">
        <v>4199458.1279999996</v>
      </c>
      <c r="P15" s="20"/>
      <c r="Q15" s="20"/>
      <c r="R15" s="20"/>
      <c r="S15" s="20"/>
    </row>
    <row r="16" spans="1:19" ht="15" thickBot="1" x14ac:dyDescent="0.35">
      <c r="A16" s="57"/>
      <c r="B16" s="20">
        <v>2019</v>
      </c>
      <c r="C16" s="20">
        <v>15</v>
      </c>
      <c r="D16" s="22">
        <v>4051720.463</v>
      </c>
      <c r="E16" s="20"/>
      <c r="F16" s="20"/>
      <c r="G16" s="20"/>
      <c r="H16" s="20"/>
      <c r="I16" s="20"/>
      <c r="J16" s="30">
        <v>4051720.463</v>
      </c>
      <c r="K16" s="20"/>
      <c r="L16" s="20"/>
      <c r="M16" s="20"/>
      <c r="N16" s="20"/>
      <c r="O16" s="26">
        <v>4051720.463</v>
      </c>
      <c r="P16" s="20"/>
      <c r="Q16" s="20"/>
      <c r="R16" s="20"/>
      <c r="S16" s="20"/>
    </row>
    <row r="17" spans="1:19" ht="15" thickBot="1" x14ac:dyDescent="0.35">
      <c r="A17" s="57"/>
      <c r="B17" s="20">
        <v>2020</v>
      </c>
      <c r="C17" s="20">
        <v>16</v>
      </c>
      <c r="D17" s="22">
        <v>4464987.4239999996</v>
      </c>
      <c r="E17" s="20"/>
      <c r="F17" s="20"/>
      <c r="G17" s="20"/>
      <c r="H17" s="20"/>
      <c r="I17" s="20"/>
      <c r="J17" s="30">
        <v>4464987.4239999996</v>
      </c>
      <c r="K17" s="20"/>
      <c r="L17" s="20"/>
      <c r="M17" s="20"/>
      <c r="N17" s="20"/>
      <c r="O17" s="26">
        <v>4464987.4239999996</v>
      </c>
      <c r="P17" s="20"/>
      <c r="Q17" s="20"/>
      <c r="R17" s="20"/>
      <c r="S17" s="20"/>
    </row>
    <row r="18" spans="1:19" ht="15" thickBot="1" x14ac:dyDescent="0.35">
      <c r="A18" s="57"/>
      <c r="B18" s="20">
        <v>2021</v>
      </c>
      <c r="C18" s="20">
        <v>17</v>
      </c>
      <c r="D18" s="22">
        <v>4997758.0970000001</v>
      </c>
      <c r="E18" s="27">
        <f>D18</f>
        <v>4997758.0970000001</v>
      </c>
      <c r="F18" s="20"/>
      <c r="G18" s="20"/>
      <c r="H18" s="20"/>
      <c r="I18" s="20"/>
      <c r="J18" s="30">
        <v>4997758.0970000001</v>
      </c>
      <c r="K18" s="20"/>
      <c r="L18" s="20"/>
      <c r="M18" s="20"/>
      <c r="N18" s="20"/>
      <c r="O18" s="26">
        <v>4997758.0970000001</v>
      </c>
      <c r="P18" s="20"/>
      <c r="Q18" s="20"/>
      <c r="R18" s="20"/>
      <c r="S18" s="20"/>
    </row>
    <row r="19" spans="1:19" ht="15" thickBot="1" x14ac:dyDescent="0.35">
      <c r="A19" s="58" t="s">
        <v>12</v>
      </c>
      <c r="B19" s="24">
        <v>2022</v>
      </c>
      <c r="C19" s="24">
        <v>18</v>
      </c>
      <c r="D19" s="25">
        <v>5301499.9460000005</v>
      </c>
      <c r="E19" s="37">
        <f>E18+$E$2*(D18-E18)</f>
        <v>4997758.0970000001</v>
      </c>
      <c r="F19" s="25">
        <f>E19-D19</f>
        <v>-303741.84900000039</v>
      </c>
      <c r="G19" s="25">
        <f>ABS(F19)</f>
        <v>303741.84900000039</v>
      </c>
      <c r="H19" s="28">
        <f>G19/D19</f>
        <v>5.729356825310819E-2</v>
      </c>
      <c r="I19" s="25">
        <f>F19^2</f>
        <v>92259110833.939041</v>
      </c>
      <c r="J19" s="30">
        <f>SUM(J16:J18)/3</f>
        <v>4504821.9946666667</v>
      </c>
      <c r="K19" s="25">
        <f>J19-D19</f>
        <v>-796677.95133333374</v>
      </c>
      <c r="L19" s="25">
        <f>ABS(K19)</f>
        <v>796677.95133333374</v>
      </c>
      <c r="M19" s="28">
        <f>L19/D19</f>
        <v>0.15027406572632901</v>
      </c>
      <c r="N19" s="25">
        <f>K19^2</f>
        <v>634695758140.67773</v>
      </c>
      <c r="O19" s="26" cm="1">
        <f t="array" ref="O19">TREND(O2:O18,C2:C18,C19)</f>
        <v>4763286.5253308807</v>
      </c>
      <c r="P19" s="25">
        <f>O19-D19</f>
        <v>-538213.42066911981</v>
      </c>
      <c r="Q19" s="25">
        <f>ABS(P19)</f>
        <v>538213.42066911981</v>
      </c>
      <c r="R19" s="28">
        <f>Q19/D19</f>
        <v>0.10152097069720875</v>
      </c>
      <c r="S19" s="25">
        <f>P19^2</f>
        <v>289673686188.35492</v>
      </c>
    </row>
    <row r="20" spans="1:19" ht="15" thickBot="1" x14ac:dyDescent="0.35">
      <c r="A20" s="58"/>
      <c r="B20" s="24">
        <v>2023</v>
      </c>
      <c r="C20" s="24">
        <v>19</v>
      </c>
      <c r="D20" s="25">
        <v>7146357.432</v>
      </c>
      <c r="E20" s="37">
        <f t="shared" ref="E20:E21" si="0">E19+$E$2*(D19-E19)</f>
        <v>5241983.5728725009</v>
      </c>
      <c r="F20" s="25">
        <f>E20-D20</f>
        <v>-1904373.8591274992</v>
      </c>
      <c r="G20" s="25">
        <f t="shared" ref="G20:G21" si="1">ABS(F20)</f>
        <v>1904373.8591274992</v>
      </c>
      <c r="H20" s="28">
        <f>G20/D20</f>
        <v>0.26648175343148706</v>
      </c>
      <c r="I20" s="25">
        <f>F20^2</f>
        <v>3626639795328.1641</v>
      </c>
      <c r="J20" s="30">
        <f t="shared" ref="J20:J21" si="2">SUM(J17:J19)/3</f>
        <v>4655855.8385555558</v>
      </c>
      <c r="K20" s="25">
        <f t="shared" ref="K20:K21" si="3">J20-D20</f>
        <v>-2490501.5934444442</v>
      </c>
      <c r="L20" s="25">
        <f t="shared" ref="L20:L21" si="4">ABS(K20)</f>
        <v>2490501.5934444442</v>
      </c>
      <c r="M20" s="28">
        <f t="shared" ref="M20:M21" si="5">L20/D20</f>
        <v>0.34849944424728352</v>
      </c>
      <c r="N20" s="25">
        <f t="shared" ref="N20:N21" si="6">K20^2</f>
        <v>6202598186949.3154</v>
      </c>
      <c r="O20" s="26" cm="1">
        <f t="array" ref="O20">TREND(O3:O19,C3:C19,C20)</f>
        <v>4794955.4578572642</v>
      </c>
      <c r="P20" s="25">
        <f t="shared" ref="P20:P21" si="7">O20-D20</f>
        <v>-2351401.9741427358</v>
      </c>
      <c r="Q20" s="25">
        <f t="shared" ref="Q20:Q21" si="8">ABS(P20)</f>
        <v>2351401.9741427358</v>
      </c>
      <c r="R20" s="28">
        <f t="shared" ref="R20:R21" si="9">Q20/D20</f>
        <v>0.32903503589305716</v>
      </c>
      <c r="S20" s="25">
        <f t="shared" ref="S20:S21" si="10">P20^2</f>
        <v>5529091244002.3555</v>
      </c>
    </row>
    <row r="21" spans="1:19" ht="15" thickBot="1" x14ac:dyDescent="0.35">
      <c r="A21" s="58"/>
      <c r="B21" s="24">
        <v>2024</v>
      </c>
      <c r="C21" s="24">
        <v>20</v>
      </c>
      <c r="D21" s="25">
        <v>6478669.6349999998</v>
      </c>
      <c r="E21" s="37">
        <f t="shared" si="0"/>
        <v>6773206.9242670722</v>
      </c>
      <c r="F21" s="25">
        <f>E21-D21</f>
        <v>294537.28926707245</v>
      </c>
      <c r="G21" s="25">
        <f t="shared" si="1"/>
        <v>294537.28926707245</v>
      </c>
      <c r="H21" s="28">
        <f>G21/D21</f>
        <v>4.5462619003735084E-2</v>
      </c>
      <c r="I21" s="25">
        <f>F21^2</f>
        <v>86752214768.79512</v>
      </c>
      <c r="J21" s="30">
        <f t="shared" si="2"/>
        <v>4719478.6434074072</v>
      </c>
      <c r="K21" s="25">
        <f t="shared" si="3"/>
        <v>-1759190.9915925926</v>
      </c>
      <c r="L21" s="25">
        <f t="shared" si="4"/>
        <v>1759190.9915925926</v>
      </c>
      <c r="M21" s="28">
        <f t="shared" si="5"/>
        <v>0.27153583848277096</v>
      </c>
      <c r="N21" s="25">
        <f t="shared" si="6"/>
        <v>3094752944900.5293</v>
      </c>
      <c r="O21" s="26" cm="1">
        <f t="array" ref="O21">TREND(O4:O20,C4:C20,C21)</f>
        <v>4825046.5159266759</v>
      </c>
      <c r="P21" s="25">
        <f t="shared" si="7"/>
        <v>-1653623.1190733239</v>
      </c>
      <c r="Q21" s="25">
        <f t="shared" si="8"/>
        <v>1653623.1190733239</v>
      </c>
      <c r="R21" s="28">
        <f t="shared" si="9"/>
        <v>0.25524115477966086</v>
      </c>
      <c r="S21" s="25">
        <f t="shared" si="10"/>
        <v>2734469419933.7886</v>
      </c>
    </row>
    <row r="25" spans="1:19" x14ac:dyDescent="0.3">
      <c r="C25" s="8"/>
      <c r="D25" s="8"/>
      <c r="E25" s="8"/>
      <c r="F25" s="8"/>
    </row>
    <row r="26" spans="1:19" x14ac:dyDescent="0.3">
      <c r="C26" s="10" t="s">
        <v>29</v>
      </c>
      <c r="D26" s="11" t="s">
        <v>17</v>
      </c>
      <c r="E26" s="1" t="s">
        <v>20</v>
      </c>
      <c r="F26" s="1" t="s">
        <v>18</v>
      </c>
      <c r="G26" s="3" t="s">
        <v>19</v>
      </c>
    </row>
    <row r="27" spans="1:19" x14ac:dyDescent="0.3">
      <c r="C27" s="14" t="s">
        <v>13</v>
      </c>
      <c r="D27" s="60">
        <f>AVERAGE(K19:K21)</f>
        <v>-1682123.5121234569</v>
      </c>
      <c r="E27" s="5">
        <f>AVERAGE(P19:P21)</f>
        <v>-1514412.8379617266</v>
      </c>
      <c r="F27" s="5">
        <f>AVERAGE(F19:F21)</f>
        <v>-637859.47295347566</v>
      </c>
      <c r="G27" s="5">
        <v>-287931.01675878372</v>
      </c>
    </row>
    <row r="28" spans="1:19" x14ac:dyDescent="0.3">
      <c r="C28" s="14" t="s">
        <v>14</v>
      </c>
      <c r="D28" s="5">
        <f>AVERAGE(L19:L21)</f>
        <v>1682123.5121234569</v>
      </c>
      <c r="E28" s="5">
        <f>AVERAGE(Q19:Q21)</f>
        <v>1514412.8379617266</v>
      </c>
      <c r="F28" s="5">
        <f>AVERAGE(G19:G21)</f>
        <v>834217.66579819063</v>
      </c>
      <c r="G28" s="51">
        <v>827254.55071782914</v>
      </c>
    </row>
    <row r="29" spans="1:19" x14ac:dyDescent="0.3">
      <c r="C29" s="14" t="s">
        <v>15</v>
      </c>
      <c r="D29" s="52">
        <f>AVERAGE(M19:M21)</f>
        <v>0.25676978281879448</v>
      </c>
      <c r="E29" s="52">
        <f>AVERAGE(R19:R21)</f>
        <v>0.22859905378997558</v>
      </c>
      <c r="F29" s="52">
        <f>AVERAGE(H19:H21)</f>
        <v>0.12307931356277678</v>
      </c>
      <c r="G29" s="53">
        <v>0.12196538647820938</v>
      </c>
    </row>
    <row r="30" spans="1:19" x14ac:dyDescent="0.3">
      <c r="C30" s="14" t="s">
        <v>16</v>
      </c>
      <c r="D30" s="5">
        <f>AVERAGE(N19:N21)</f>
        <v>3310682296663.5078</v>
      </c>
      <c r="E30" s="5">
        <f>AVERAGE(S19:S21)</f>
        <v>2851078116708.166</v>
      </c>
      <c r="F30" s="5">
        <f>AVERAGE(I19:I21)</f>
        <v>1268550373643.6326</v>
      </c>
      <c r="G30" s="50">
        <v>1068907659191.8304</v>
      </c>
    </row>
    <row r="31" spans="1:19" x14ac:dyDescent="0.3">
      <c r="C31" s="9"/>
      <c r="D31" s="9"/>
      <c r="E31" s="9"/>
      <c r="F31" s="9"/>
    </row>
    <row r="36" spans="1:17" ht="15" thickBot="1" x14ac:dyDescent="0.35"/>
    <row r="37" spans="1:17" ht="29.4" thickBot="1" x14ac:dyDescent="0.35">
      <c r="A37" s="20"/>
      <c r="B37" s="21" t="s">
        <v>0</v>
      </c>
      <c r="C37" s="21" t="s">
        <v>1</v>
      </c>
      <c r="D37" s="21" t="s">
        <v>2</v>
      </c>
      <c r="E37" s="48" t="s">
        <v>3</v>
      </c>
      <c r="F37" s="38" t="s">
        <v>21</v>
      </c>
      <c r="G37" s="39" t="s">
        <v>22</v>
      </c>
      <c r="H37" s="40" t="s">
        <v>23</v>
      </c>
      <c r="I37" s="46" t="s">
        <v>24</v>
      </c>
      <c r="J37" s="41" t="s">
        <v>4</v>
      </c>
      <c r="K37" s="41" t="s">
        <v>5</v>
      </c>
      <c r="L37" s="42" t="s">
        <v>6</v>
      </c>
      <c r="M37" s="41" t="s">
        <v>25</v>
      </c>
    </row>
    <row r="38" spans="1:17" ht="15" thickBot="1" x14ac:dyDescent="0.35">
      <c r="A38" s="57" t="s">
        <v>11</v>
      </c>
      <c r="B38" s="20">
        <v>2005</v>
      </c>
      <c r="C38" s="20">
        <v>1</v>
      </c>
      <c r="D38" s="22">
        <v>1461898.4790000001</v>
      </c>
      <c r="E38" s="23">
        <v>0.80405606496620952</v>
      </c>
      <c r="F38" s="20"/>
      <c r="G38" s="20"/>
      <c r="H38" s="20"/>
      <c r="I38" s="20"/>
      <c r="J38" s="20"/>
      <c r="K38" s="20"/>
      <c r="L38" s="20"/>
      <c r="M38" s="20"/>
    </row>
    <row r="39" spans="1:17" ht="15" thickBot="1" x14ac:dyDescent="0.35">
      <c r="A39" s="57"/>
      <c r="B39" s="20">
        <v>2006</v>
      </c>
      <c r="C39" s="20">
        <v>2</v>
      </c>
      <c r="D39" s="22">
        <v>1918538.8670000001</v>
      </c>
      <c r="E39" s="20"/>
      <c r="F39" s="20"/>
      <c r="G39" s="20"/>
      <c r="H39" s="20"/>
      <c r="I39" s="20"/>
      <c r="J39" s="20"/>
      <c r="K39" s="20"/>
      <c r="L39" s="20"/>
      <c r="M39" s="20"/>
    </row>
    <row r="40" spans="1:17" ht="15" thickBot="1" x14ac:dyDescent="0.35">
      <c r="A40" s="57"/>
      <c r="B40" s="20">
        <v>2007</v>
      </c>
      <c r="C40" s="20">
        <v>3</v>
      </c>
      <c r="D40" s="22">
        <v>3068343.2560000001</v>
      </c>
      <c r="E40" s="20"/>
      <c r="F40" s="20"/>
      <c r="G40" s="20"/>
      <c r="H40" s="20"/>
      <c r="I40" s="20"/>
      <c r="J40" s="20"/>
      <c r="K40" s="20"/>
      <c r="L40" s="20"/>
      <c r="M40" s="20"/>
      <c r="P40" s="12" t="s">
        <v>26</v>
      </c>
      <c r="Q40" s="13">
        <v>0</v>
      </c>
    </row>
    <row r="41" spans="1:17" ht="15" thickBot="1" x14ac:dyDescent="0.35">
      <c r="A41" s="57"/>
      <c r="B41" s="20">
        <v>2008</v>
      </c>
      <c r="C41" s="20">
        <v>4</v>
      </c>
      <c r="D41" s="22">
        <v>3378425.8190000001</v>
      </c>
      <c r="E41" s="20"/>
      <c r="F41" s="20"/>
      <c r="G41" s="20"/>
      <c r="H41" s="20"/>
      <c r="I41" s="20"/>
      <c r="J41" s="20"/>
      <c r="K41" s="20"/>
      <c r="L41" s="20"/>
      <c r="M41" s="20"/>
      <c r="P41" s="12" t="s">
        <v>27</v>
      </c>
      <c r="Q41" s="13">
        <v>0.41957169760478774</v>
      </c>
    </row>
    <row r="42" spans="1:17" ht="15" thickBot="1" x14ac:dyDescent="0.35">
      <c r="A42" s="57"/>
      <c r="B42" s="20">
        <v>2009</v>
      </c>
      <c r="C42" s="20">
        <v>5</v>
      </c>
      <c r="D42" s="22">
        <v>3418746.8879999998</v>
      </c>
      <c r="E42" s="20"/>
      <c r="F42" s="20"/>
      <c r="G42" s="20"/>
      <c r="H42" s="20"/>
      <c r="I42" s="20"/>
      <c r="J42" s="20"/>
      <c r="K42" s="20"/>
      <c r="L42" s="20"/>
      <c r="M42" s="20"/>
      <c r="P42" s="12" t="s">
        <v>28</v>
      </c>
      <c r="Q42" s="13">
        <v>0.65528877913195638</v>
      </c>
    </row>
    <row r="43" spans="1:17" ht="15" thickBot="1" x14ac:dyDescent="0.35">
      <c r="A43" s="57"/>
      <c r="B43" s="20">
        <v>2010</v>
      </c>
      <c r="C43" s="20">
        <v>6</v>
      </c>
      <c r="D43" s="22">
        <v>3416388.7239999999</v>
      </c>
      <c r="E43" s="20"/>
      <c r="F43" s="20"/>
      <c r="G43" s="20"/>
      <c r="H43" s="20"/>
      <c r="I43" s="20"/>
      <c r="J43" s="20"/>
      <c r="K43" s="20"/>
      <c r="L43" s="20"/>
      <c r="M43" s="20"/>
    </row>
    <row r="44" spans="1:17" ht="15" thickBot="1" x14ac:dyDescent="0.35">
      <c r="A44" s="57"/>
      <c r="B44" s="20">
        <v>2011</v>
      </c>
      <c r="C44" s="20">
        <v>7</v>
      </c>
      <c r="D44" s="22">
        <v>3284054.35</v>
      </c>
      <c r="E44" s="20"/>
      <c r="F44" s="20"/>
      <c r="G44" s="20"/>
      <c r="H44" s="20"/>
      <c r="I44" s="20"/>
      <c r="J44" s="20"/>
      <c r="K44" s="20"/>
      <c r="L44" s="20"/>
      <c r="M44" s="20"/>
    </row>
    <row r="45" spans="1:17" ht="15" thickBot="1" x14ac:dyDescent="0.35">
      <c r="A45" s="57"/>
      <c r="B45" s="20">
        <v>2012</v>
      </c>
      <c r="C45" s="20">
        <v>8</v>
      </c>
      <c r="D45" s="22">
        <v>3201298.7560000001</v>
      </c>
      <c r="E45" s="20"/>
      <c r="F45" s="20"/>
      <c r="G45" s="20"/>
      <c r="H45" s="20"/>
      <c r="I45" s="20"/>
      <c r="J45" s="20"/>
      <c r="K45" s="20"/>
      <c r="L45" s="20"/>
      <c r="M45" s="20"/>
    </row>
    <row r="46" spans="1:17" ht="15" thickBot="1" x14ac:dyDescent="0.35">
      <c r="A46" s="57"/>
      <c r="B46" s="20">
        <v>2013</v>
      </c>
      <c r="C46" s="20">
        <v>9</v>
      </c>
      <c r="D46" s="22">
        <v>3206870.5929999999</v>
      </c>
      <c r="E46" s="20"/>
      <c r="F46" s="20"/>
      <c r="G46" s="20"/>
      <c r="H46" s="20"/>
      <c r="I46" s="20"/>
      <c r="J46" s="20"/>
      <c r="K46" s="20"/>
      <c r="L46" s="20"/>
      <c r="M46" s="20"/>
    </row>
    <row r="47" spans="1:17" ht="15" thickBot="1" x14ac:dyDescent="0.35">
      <c r="A47" s="57"/>
      <c r="B47" s="20">
        <v>2014</v>
      </c>
      <c r="C47" s="20">
        <v>10</v>
      </c>
      <c r="D47" s="22">
        <v>3394594.514</v>
      </c>
      <c r="E47" s="20"/>
      <c r="F47" s="20"/>
      <c r="G47" s="20"/>
      <c r="H47" s="20"/>
      <c r="I47" s="20"/>
      <c r="J47" s="20"/>
      <c r="K47" s="20"/>
      <c r="L47" s="20"/>
      <c r="M47" s="20"/>
      <c r="P47" s="59" t="s">
        <v>19</v>
      </c>
      <c r="Q47" s="59"/>
    </row>
    <row r="48" spans="1:17" ht="15" thickBot="1" x14ac:dyDescent="0.35">
      <c r="A48" s="57"/>
      <c r="B48" s="20">
        <v>2015</v>
      </c>
      <c r="C48" s="20">
        <v>11</v>
      </c>
      <c r="D48" s="22">
        <v>3595357.27</v>
      </c>
      <c r="E48" s="20"/>
      <c r="F48" s="20"/>
      <c r="G48" s="20"/>
      <c r="H48" s="20"/>
      <c r="I48" s="20"/>
      <c r="J48" s="20"/>
      <c r="K48" s="20"/>
      <c r="L48" s="20"/>
      <c r="M48" s="20"/>
      <c r="P48" s="15" t="s">
        <v>13</v>
      </c>
      <c r="Q48" s="16">
        <f>AVERAGE(J55:J57)</f>
        <v>-287931.01675878372</v>
      </c>
    </row>
    <row r="49" spans="1:17" ht="15" thickBot="1" x14ac:dyDescent="0.35">
      <c r="A49" s="57"/>
      <c r="B49" s="20">
        <v>2016</v>
      </c>
      <c r="C49" s="20">
        <v>12</v>
      </c>
      <c r="D49" s="22">
        <v>3715911.8169999998</v>
      </c>
      <c r="E49" s="20"/>
      <c r="F49" s="20"/>
      <c r="G49" s="20"/>
      <c r="H49" s="20"/>
      <c r="I49" s="20"/>
      <c r="J49" s="20"/>
      <c r="K49" s="20"/>
      <c r="L49" s="20"/>
      <c r="M49" s="20"/>
      <c r="P49" s="15" t="s">
        <v>14</v>
      </c>
      <c r="Q49" s="17">
        <f>AVERAGE(K55:K57)</f>
        <v>827254.55071782914</v>
      </c>
    </row>
    <row r="50" spans="1:17" ht="15" thickBot="1" x14ac:dyDescent="0.35">
      <c r="A50" s="57"/>
      <c r="B50" s="20">
        <v>2017</v>
      </c>
      <c r="C50" s="20">
        <v>13</v>
      </c>
      <c r="D50" s="22">
        <v>3857068.2510000002</v>
      </c>
      <c r="E50" s="20"/>
      <c r="F50" s="20"/>
      <c r="G50" s="20"/>
      <c r="H50" s="20"/>
      <c r="I50" s="20"/>
      <c r="J50" s="20"/>
      <c r="K50" s="20"/>
      <c r="L50" s="20"/>
      <c r="M50" s="20"/>
      <c r="P50" s="15" t="s">
        <v>15</v>
      </c>
      <c r="Q50" s="18">
        <f>AVERAGE(L55:L57)</f>
        <v>0.12196538647820938</v>
      </c>
    </row>
    <row r="51" spans="1:17" ht="15" thickBot="1" x14ac:dyDescent="0.35">
      <c r="A51" s="57"/>
      <c r="B51" s="20">
        <v>2018</v>
      </c>
      <c r="C51" s="20">
        <v>14</v>
      </c>
      <c r="D51" s="22">
        <v>4199458.1279999996</v>
      </c>
      <c r="E51" s="20"/>
      <c r="F51" s="20"/>
      <c r="G51" s="20"/>
      <c r="H51" s="22"/>
      <c r="I51" s="20"/>
      <c r="J51" s="20"/>
      <c r="K51" s="20"/>
      <c r="L51" s="20"/>
      <c r="M51" s="20"/>
      <c r="P51" s="15" t="s">
        <v>16</v>
      </c>
      <c r="Q51" s="19">
        <f>AVERAGE(M55:M57)</f>
        <v>1068907659191.8304</v>
      </c>
    </row>
    <row r="52" spans="1:17" ht="15" thickBot="1" x14ac:dyDescent="0.35">
      <c r="A52" s="57"/>
      <c r="B52" s="20">
        <v>2019</v>
      </c>
      <c r="C52" s="20">
        <v>15</v>
      </c>
      <c r="D52" s="22">
        <v>4051720.463</v>
      </c>
      <c r="E52" s="20"/>
      <c r="F52" s="20"/>
      <c r="G52" s="20"/>
      <c r="H52" s="43">
        <f>D52/$F$54</f>
        <v>0.89941854923388731</v>
      </c>
      <c r="I52" s="20"/>
      <c r="J52" s="20"/>
      <c r="K52" s="20"/>
      <c r="L52" s="20"/>
      <c r="M52" s="20"/>
    </row>
    <row r="53" spans="1:17" ht="15" thickBot="1" x14ac:dyDescent="0.35">
      <c r="A53" s="57"/>
      <c r="B53" s="20">
        <v>2020</v>
      </c>
      <c r="C53" s="20">
        <v>16</v>
      </c>
      <c r="D53" s="22">
        <v>4464987.4239999996</v>
      </c>
      <c r="E53" s="20"/>
      <c r="F53" s="20"/>
      <c r="G53" s="20"/>
      <c r="H53" s="43">
        <f t="shared" ref="H53:H54" si="11">D53/$F$54</f>
        <v>0.99115734856697379</v>
      </c>
      <c r="I53" s="20"/>
      <c r="J53" s="20"/>
      <c r="K53" s="20"/>
      <c r="L53" s="20"/>
      <c r="M53" s="20"/>
    </row>
    <row r="54" spans="1:17" ht="15" thickBot="1" x14ac:dyDescent="0.35">
      <c r="A54" s="57"/>
      <c r="B54" s="20">
        <v>2021</v>
      </c>
      <c r="C54" s="20">
        <v>17</v>
      </c>
      <c r="D54" s="22">
        <v>4997758.0970000001</v>
      </c>
      <c r="E54" s="43">
        <f>D54</f>
        <v>4997758.0970000001</v>
      </c>
      <c r="F54" s="43">
        <f>AVERAGE(D52:D54)</f>
        <v>4504821.9946666667</v>
      </c>
      <c r="G54" s="43">
        <v>456640</v>
      </c>
      <c r="H54" s="43">
        <f t="shared" si="11"/>
        <v>1.1094241021991387</v>
      </c>
      <c r="I54" s="20"/>
      <c r="J54" s="20"/>
      <c r="K54" s="20"/>
      <c r="L54" s="20"/>
      <c r="M54" s="20"/>
    </row>
    <row r="55" spans="1:17" ht="15" thickBot="1" x14ac:dyDescent="0.35">
      <c r="A55" s="58" t="s">
        <v>12</v>
      </c>
      <c r="B55" s="24">
        <v>2022</v>
      </c>
      <c r="C55" s="24">
        <v>18</v>
      </c>
      <c r="D55" s="25">
        <v>5301499.9460000005</v>
      </c>
      <c r="E55" s="49">
        <f>E54+$E$2*(D54-E54)</f>
        <v>4997758.0970000001</v>
      </c>
      <c r="F55" s="44">
        <f>$Q$40*(D55/H52)+(1-$Q$40)*(F54+G54)</f>
        <v>4961461.9946666667</v>
      </c>
      <c r="G55" s="37">
        <f>$Q$41*(F55-F54)+(1-$Q$41)*G54</f>
        <v>456640</v>
      </c>
      <c r="H55" s="45">
        <f>$Q$42*(D55/F55)+(1-$Q$42)*H52</f>
        <v>1.0102392103679523</v>
      </c>
      <c r="I55" s="47">
        <f>(F54+G54)*H54</f>
        <v>5504365.5190282147</v>
      </c>
      <c r="J55" s="25">
        <f>I55-D55</f>
        <v>202865.57302821428</v>
      </c>
      <c r="K55" s="24">
        <f>ABS(J55)</f>
        <v>202865.57302821428</v>
      </c>
      <c r="L55" s="28">
        <f>K55/D55</f>
        <v>3.8265693689439162E-2</v>
      </c>
      <c r="M55" s="29">
        <f>J55^2</f>
        <v>41154440720.065742</v>
      </c>
    </row>
    <row r="56" spans="1:17" ht="15" thickBot="1" x14ac:dyDescent="0.35">
      <c r="A56" s="58"/>
      <c r="B56" s="24">
        <v>2023</v>
      </c>
      <c r="C56" s="24">
        <v>19</v>
      </c>
      <c r="D56" s="25">
        <v>7146357.432</v>
      </c>
      <c r="E56" s="49">
        <f t="shared" ref="E56:E57" si="12">E55+$E$2*(D55-E55)</f>
        <v>5241983.5728725009</v>
      </c>
      <c r="F56" s="44">
        <f t="shared" ref="F56:F57" si="13">$Q$40*(D56/H53)+(1-$Q$40)*(F55+G55)</f>
        <v>5418101.9946666667</v>
      </c>
      <c r="G56" s="37">
        <f t="shared" ref="G56:G57" si="14">$Q$41*(F56-F55)+(1-$Q$41)*G55</f>
        <v>456640</v>
      </c>
      <c r="H56" s="45">
        <f t="shared" ref="H56:H57" si="15">$Q$42*(D56/F56)+(1-$Q$42)*H53</f>
        <v>1.2059745550259429</v>
      </c>
      <c r="I56" s="47">
        <f t="shared" ref="I56:I57" si="16">(F55+G55)*H55</f>
        <v>5473579.0807850808</v>
      </c>
      <c r="J56" s="25">
        <f t="shared" ref="J56:J57" si="17">I56-D56</f>
        <v>-1672778.3512149192</v>
      </c>
      <c r="K56" s="24">
        <f t="shared" ref="K56:K57" si="18">ABS(J56)</f>
        <v>1672778.3512149192</v>
      </c>
      <c r="L56" s="28">
        <f t="shared" ref="L56:L57" si="19">K56/D56</f>
        <v>0.23407426330574271</v>
      </c>
      <c r="M56" s="29">
        <f t="shared" ref="M56:M57" si="20">J56^2</f>
        <v>2798187412293.3037</v>
      </c>
    </row>
    <row r="57" spans="1:17" ht="15" thickBot="1" x14ac:dyDescent="0.35">
      <c r="A57" s="58"/>
      <c r="B57" s="24">
        <v>2024</v>
      </c>
      <c r="C57" s="24">
        <v>20</v>
      </c>
      <c r="D57" s="25">
        <v>6478669.6349999998</v>
      </c>
      <c r="E57" s="49">
        <f t="shared" si="12"/>
        <v>6773206.9242670722</v>
      </c>
      <c r="F57" s="44">
        <f t="shared" si="13"/>
        <v>5874741.9946666667</v>
      </c>
      <c r="G57" s="37">
        <f t="shared" si="14"/>
        <v>456640</v>
      </c>
      <c r="H57" s="45">
        <f t="shared" si="15"/>
        <v>1.1050838667428633</v>
      </c>
      <c r="I57" s="47">
        <f t="shared" si="16"/>
        <v>7084789.3629103536</v>
      </c>
      <c r="J57" s="25">
        <f t="shared" si="17"/>
        <v>606119.7279103538</v>
      </c>
      <c r="K57" s="24">
        <f t="shared" si="18"/>
        <v>606119.7279103538</v>
      </c>
      <c r="L57" s="28">
        <f t="shared" si="19"/>
        <v>9.3556202439446318E-2</v>
      </c>
      <c r="M57" s="29">
        <f t="shared" si="20"/>
        <v>367381124562.12134</v>
      </c>
    </row>
    <row r="58" spans="1:17" ht="15" thickBot="1" x14ac:dyDescent="0.35">
      <c r="B58" s="54"/>
      <c r="E58" s="49"/>
    </row>
  </sheetData>
  <mergeCells count="5">
    <mergeCell ref="A2:A18"/>
    <mergeCell ref="A19:A21"/>
    <mergeCell ref="A38:A54"/>
    <mergeCell ref="A55:A57"/>
    <mergeCell ref="P47:Q4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3AC64-1EEC-4DAC-9816-CACAD62E6EF6}">
  <dimension ref="A1:M58"/>
  <sheetViews>
    <sheetView zoomScale="70" zoomScaleNormal="70" workbookViewId="0">
      <selection activeCell="F19" sqref="F19:F21"/>
    </sheetView>
  </sheetViews>
  <sheetFormatPr defaultRowHeight="14.4" x14ac:dyDescent="0.3"/>
  <cols>
    <col min="2" max="2" width="12.77734375" bestFit="1" customWidth="1"/>
    <col min="3" max="3" width="34" bestFit="1" customWidth="1"/>
    <col min="4" max="4" width="38.109375" bestFit="1" customWidth="1"/>
    <col min="5" max="5" width="42.109375" bestFit="1" customWidth="1"/>
    <col min="6" max="6" width="44.33203125" bestFit="1" customWidth="1"/>
    <col min="9" max="9" width="10.6640625" customWidth="1"/>
    <col min="10" max="10" width="22.109375" customWidth="1"/>
    <col min="11" max="11" width="22.21875" customWidth="1"/>
    <col min="12" max="12" width="23.33203125" customWidth="1"/>
    <col min="13" max="13" width="23.44140625" customWidth="1"/>
  </cols>
  <sheetData>
    <row r="1" spans="1:13" s="1" customFormat="1" x14ac:dyDescent="0.3">
      <c r="A1" s="55" t="s">
        <v>0</v>
      </c>
      <c r="B1" s="55" t="s">
        <v>30</v>
      </c>
      <c r="C1" s="56" t="s">
        <v>33</v>
      </c>
      <c r="D1" s="56" t="s">
        <v>31</v>
      </c>
      <c r="E1" s="56" t="s">
        <v>34</v>
      </c>
      <c r="F1" s="56" t="s">
        <v>32</v>
      </c>
    </row>
    <row r="2" spans="1:13" x14ac:dyDescent="0.3">
      <c r="A2" s="4">
        <v>2005</v>
      </c>
      <c r="B2" s="5">
        <v>1461898.4790000001</v>
      </c>
    </row>
    <row r="3" spans="1:13" x14ac:dyDescent="0.3">
      <c r="A3" s="4">
        <v>2006</v>
      </c>
      <c r="B3" s="5">
        <v>1918538.8670000001</v>
      </c>
    </row>
    <row r="4" spans="1:13" x14ac:dyDescent="0.3">
      <c r="A4" s="4">
        <v>2007</v>
      </c>
      <c r="B4" s="5">
        <v>3068343.2560000001</v>
      </c>
    </row>
    <row r="5" spans="1:13" x14ac:dyDescent="0.3">
      <c r="A5" s="4">
        <v>2008</v>
      </c>
      <c r="B5" s="5">
        <v>3378425.8190000001</v>
      </c>
    </row>
    <row r="6" spans="1:13" x14ac:dyDescent="0.3">
      <c r="A6" s="4">
        <v>2009</v>
      </c>
      <c r="B6" s="5">
        <v>3418746.8879999998</v>
      </c>
      <c r="E6" s="1"/>
      <c r="I6" s="4" t="s">
        <v>29</v>
      </c>
      <c r="J6" s="4" t="s">
        <v>17</v>
      </c>
      <c r="K6" s="4" t="s">
        <v>20</v>
      </c>
      <c r="L6" s="4" t="s">
        <v>18</v>
      </c>
      <c r="M6" s="4" t="s">
        <v>19</v>
      </c>
    </row>
    <row r="7" spans="1:13" x14ac:dyDescent="0.3">
      <c r="A7" s="4">
        <v>2010</v>
      </c>
      <c r="B7" s="5">
        <v>3416388.7239999999</v>
      </c>
      <c r="I7" s="4" t="s">
        <v>13</v>
      </c>
      <c r="J7" s="4">
        <v>-1682123.5121234569</v>
      </c>
      <c r="K7" s="4">
        <v>-1514412.8379617266</v>
      </c>
      <c r="L7" s="4">
        <v>-637859.47295347566</v>
      </c>
      <c r="M7" s="4">
        <v>-297031.10953357659</v>
      </c>
    </row>
    <row r="8" spans="1:13" x14ac:dyDescent="0.3">
      <c r="A8" s="4">
        <v>2011</v>
      </c>
      <c r="B8" s="5">
        <v>3284054.35</v>
      </c>
      <c r="I8" s="4" t="s">
        <v>14</v>
      </c>
      <c r="J8" s="4">
        <v>1682123.5121234569</v>
      </c>
      <c r="K8" s="4">
        <v>1514412.8379617266</v>
      </c>
      <c r="L8" s="4">
        <v>834217.66579819063</v>
      </c>
      <c r="M8" s="4">
        <v>823717.38938890304</v>
      </c>
    </row>
    <row r="9" spans="1:13" x14ac:dyDescent="0.3">
      <c r="A9" s="4">
        <v>2012</v>
      </c>
      <c r="B9" s="5">
        <v>3201298.7560000001</v>
      </c>
      <c r="I9" s="4" t="s">
        <v>15</v>
      </c>
      <c r="J9" s="4">
        <v>0.25676978281879448</v>
      </c>
      <c r="K9" s="4">
        <v>0.22859905378997558</v>
      </c>
      <c r="L9" s="4">
        <v>0.12307931356277678</v>
      </c>
      <c r="M9" s="4">
        <v>0.12129514527332969</v>
      </c>
    </row>
    <row r="10" spans="1:13" x14ac:dyDescent="0.3">
      <c r="A10" s="4">
        <v>2013</v>
      </c>
      <c r="B10" s="5">
        <v>3206870.5929999999</v>
      </c>
      <c r="I10" s="4" t="s">
        <v>16</v>
      </c>
      <c r="J10" s="4">
        <v>3310682296663.5078</v>
      </c>
      <c r="K10" s="4">
        <v>2851078116708.166</v>
      </c>
      <c r="L10" s="4">
        <v>1268550373643.6326</v>
      </c>
      <c r="M10" s="4">
        <v>1072619992194.6826</v>
      </c>
    </row>
    <row r="11" spans="1:13" x14ac:dyDescent="0.3">
      <c r="A11" s="4">
        <v>2014</v>
      </c>
      <c r="B11" s="5">
        <v>3394594.514</v>
      </c>
    </row>
    <row r="12" spans="1:13" x14ac:dyDescent="0.3">
      <c r="A12" s="4">
        <v>2015</v>
      </c>
      <c r="B12" s="5">
        <v>3595357.27</v>
      </c>
    </row>
    <row r="13" spans="1:13" x14ac:dyDescent="0.3">
      <c r="A13" s="4">
        <v>2016</v>
      </c>
      <c r="B13" s="5">
        <v>3715911.8169999998</v>
      </c>
    </row>
    <row r="14" spans="1:13" x14ac:dyDescent="0.3">
      <c r="A14" s="4">
        <v>2017</v>
      </c>
      <c r="B14" s="5">
        <v>3857068.2510000002</v>
      </c>
    </row>
    <row r="15" spans="1:13" x14ac:dyDescent="0.3">
      <c r="A15" s="4">
        <v>2018</v>
      </c>
      <c r="B15" s="5">
        <v>4199458.1279999996</v>
      </c>
    </row>
    <row r="16" spans="1:13" x14ac:dyDescent="0.3">
      <c r="A16" s="4">
        <v>2019</v>
      </c>
      <c r="B16" s="5">
        <v>4051720.463</v>
      </c>
    </row>
    <row r="17" spans="1:6" x14ac:dyDescent="0.3">
      <c r="A17" s="4">
        <v>2020</v>
      </c>
      <c r="B17" s="5">
        <v>4464987.4239999996</v>
      </c>
    </row>
    <row r="18" spans="1:6" x14ac:dyDescent="0.3">
      <c r="A18" s="4">
        <v>2021</v>
      </c>
      <c r="B18" s="5">
        <v>4997758.0970000001</v>
      </c>
    </row>
    <row r="19" spans="1:6" x14ac:dyDescent="0.3">
      <c r="A19" s="6">
        <v>2022</v>
      </c>
      <c r="B19" s="7">
        <v>5301499.9460000005</v>
      </c>
      <c r="C19" s="2">
        <v>4997758.0970000001</v>
      </c>
      <c r="D19" s="2">
        <v>4504821.9946666667</v>
      </c>
      <c r="E19" s="2">
        <v>4763286.5253308807</v>
      </c>
      <c r="F19" s="2">
        <v>5504365.5190282147</v>
      </c>
    </row>
    <row r="20" spans="1:6" x14ac:dyDescent="0.3">
      <c r="A20" s="6">
        <v>2023</v>
      </c>
      <c r="B20" s="7">
        <v>7146357.432</v>
      </c>
      <c r="C20" s="2">
        <v>5241983.5728725009</v>
      </c>
      <c r="D20" s="2">
        <v>4655855.8385555558</v>
      </c>
      <c r="E20" s="2">
        <v>4794955.4578572642</v>
      </c>
      <c r="F20" s="2">
        <v>5473579.0807850808</v>
      </c>
    </row>
    <row r="21" spans="1:6" x14ac:dyDescent="0.3">
      <c r="A21" s="6">
        <v>2024</v>
      </c>
      <c r="B21" s="7">
        <v>6478669.6349999998</v>
      </c>
      <c r="C21" s="2">
        <v>6773206.9242670722</v>
      </c>
      <c r="D21" s="2">
        <v>4719478.6434074072</v>
      </c>
      <c r="E21" s="2">
        <v>4825046.5159266759</v>
      </c>
      <c r="F21" s="2">
        <v>7084789.3629103536</v>
      </c>
    </row>
    <row r="38" spans="4:4" x14ac:dyDescent="0.3">
      <c r="D38" t="s">
        <v>4</v>
      </c>
    </row>
    <row r="56" spans="4:4" x14ac:dyDescent="0.3">
      <c r="D56">
        <v>195498.99698961154</v>
      </c>
    </row>
    <row r="57" spans="4:4" x14ac:dyDescent="0.3">
      <c r="D57">
        <v>-1681122.7483837195</v>
      </c>
    </row>
    <row r="58" spans="4:4" x14ac:dyDescent="0.3">
      <c r="D58">
        <v>594530.42279337812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Metode</vt:lpstr>
      <vt:lpstr>Grafic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Maroiu P Alexandru-Marian</dc:creator>
  <cp:lastModifiedBy>Maroiu P Alexandru-Marian</cp:lastModifiedBy>
  <dcterms:created xsi:type="dcterms:W3CDTF">2025-12-31T10:02:37Z</dcterms:created>
  <dcterms:modified xsi:type="dcterms:W3CDTF">2026-01-03T22:28:59Z</dcterms:modified>
</cp:coreProperties>
</file>